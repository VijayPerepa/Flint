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ulation Record" sheetId="1" state="visible" r:id="rId3"/>
    <sheet name="Spec Compliance Dashboard" sheetId="2" state="visible" r:id="rId4"/>
    <sheet name="Formulation vs Property" sheetId="3" state="visible" r:id="rId5"/>
    <sheet name="Copilot Promp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<sst xmlns="http://schemas.openxmlformats.org/spreadsheetml/2006/main" count="99" uniqueCount="78">
  <si>
    <t xml:space="preserve">PEREPA EDU — Experimental Data Capture: Ink Formulation &amp; Testing</t>
  </si>
  <si>
    <t xml:space="preserve">20 lab formulation trials for a solvent-based surface print ink — recipe + measured properties</t>
  </si>
  <si>
    <t xml:space="preserve">Formulation ID</t>
  </si>
  <si>
    <t xml:space="preserve">Date</t>
  </si>
  <si>
    <t xml:space="preserve">Chemist</t>
  </si>
  <si>
    <t xml:space="preserve">Resin (%)</t>
  </si>
  <si>
    <t xml:space="preserve">Pigment (%)</t>
  </si>
  <si>
    <t xml:space="preserve">Solvent (%)</t>
  </si>
  <si>
    <t xml:space="preserve">Additive (%)</t>
  </si>
  <si>
    <t xml:space="preserve">Total (%)</t>
  </si>
  <si>
    <t xml:space="preserve">Viscosity (cP)</t>
  </si>
  <si>
    <t xml:space="preserve">Fineness of
Grind (micron)</t>
  </si>
  <si>
    <t xml:space="preserve">Gloss (GU, 60deg)</t>
  </si>
  <si>
    <t xml:space="preserve">Delta E
(vs standard)</t>
  </si>
  <si>
    <t xml:space="preserve">Drying Time (sec)</t>
  </si>
  <si>
    <t xml:space="preserve">FRM-001</t>
  </si>
  <si>
    <t xml:space="preserve">Dr. Vikram Shah</t>
  </si>
  <si>
    <t xml:space="preserve">FRM-002</t>
  </si>
  <si>
    <t xml:space="preserve">Suresh Iyer</t>
  </si>
  <si>
    <t xml:space="preserve">FRM-003</t>
  </si>
  <si>
    <t xml:space="preserve">FRM-004</t>
  </si>
  <si>
    <t xml:space="preserve">FRM-005</t>
  </si>
  <si>
    <t xml:space="preserve">FRM-006</t>
  </si>
  <si>
    <t xml:space="preserve">Dr. Anjali Rao</t>
  </si>
  <si>
    <t xml:space="preserve">FRM-007</t>
  </si>
  <si>
    <t xml:space="preserve">FRM-008</t>
  </si>
  <si>
    <t xml:space="preserve">FRM-009</t>
  </si>
  <si>
    <t xml:space="preserve">FRM-010</t>
  </si>
  <si>
    <t xml:space="preserve">FRM-011</t>
  </si>
  <si>
    <t xml:space="preserve">FRM-012</t>
  </si>
  <si>
    <t xml:space="preserve">FRM-013</t>
  </si>
  <si>
    <t xml:space="preserve">FRM-014</t>
  </si>
  <si>
    <t xml:space="preserve">FRM-015</t>
  </si>
  <si>
    <t xml:space="preserve">FRM-016</t>
  </si>
  <si>
    <t xml:space="preserve">FRM-017</t>
  </si>
  <si>
    <t xml:space="preserve">FRM-018</t>
  </si>
  <si>
    <t xml:space="preserve">FRM-019</t>
  </si>
  <si>
    <t xml:space="preserve">FRM-020</t>
  </si>
  <si>
    <t xml:space="preserve">Blue cells = inputs. Recipe % comes from the batch card; properties are measured in the lab (viscometer, grindometer, glossmeter, spectrophotometer, dry-time gauge).</t>
  </si>
  <si>
    <t xml:space="preserve">Is Every Trial Within Customer/Internal Spec?</t>
  </si>
  <si>
    <t xml:space="preserve">Set the spec range once; every trial is checked automatically</t>
  </si>
  <si>
    <t xml:space="preserve">Property</t>
  </si>
  <si>
    <t xml:space="preserve">Spec Min</t>
  </si>
  <si>
    <t xml:space="preserve">Spec Max</t>
  </si>
  <si>
    <t xml:space="preserve">Batch Average</t>
  </si>
  <si>
    <t xml:space="preserve">Batch Min</t>
  </si>
  <si>
    <t xml:space="preserve">Batch Max</t>
  </si>
  <si>
    <t xml:space="preserve">Within Spec?</t>
  </si>
  <si>
    <t xml:space="preserve">Std Dev (consistency)</t>
  </si>
  <si>
    <t xml:space="preserve">Fineness of Grind (micron)</t>
  </si>
  <si>
    <t xml:space="preserve">Delta E (vs standard)</t>
  </si>
  <si>
    <t xml:space="preserve">A high Std Dev relative to the spec window means the process is inconsistent even if the average looks fine — that's the batch-to-batch repeatability problem, separate from whether any single batch passed.</t>
  </si>
  <si>
    <t xml:space="preserve">Does Recipe % Actually Move the Measured Property?</t>
  </si>
  <si>
    <t xml:space="preserve">Correlation between recipe ingredients and key measured properties</t>
  </si>
  <si>
    <t xml:space="preserve">Relationship</t>
  </si>
  <si>
    <t xml:space="preserve">Correlation (r)</t>
  </si>
  <si>
    <t xml:space="preserve">Interpretation</t>
  </si>
  <si>
    <t xml:space="preserve">Resin % vs Viscosity</t>
  </si>
  <si>
    <t xml:space="preserve">Pigment % vs Gloss</t>
  </si>
  <si>
    <t xml:space="preserve">Pigment % vs Fineness of Grind</t>
  </si>
  <si>
    <t xml:space="preserve">This confirms formulation science with real data: e.g. more resin genuinely raises viscosity here — so a chemist adjusting viscosity should reach for resin %, not fineness of grind.</t>
  </si>
  <si>
    <t xml:space="preserve">How R&amp;D Used Copilot to Build This Formulation Model</t>
  </si>
  <si>
    <t xml:space="preserve">Training reference: prompt sequence and what Copilot generated</t>
  </si>
  <si>
    <t xml:space="preserve">Step</t>
  </si>
  <si>
    <t xml:space="preserve">Prompt Typed Into Copilot</t>
  </si>
  <si>
    <t xml:space="preserve">What Copilot Built / Which Cells</t>
  </si>
  <si>
    <t xml:space="preserve">1</t>
  </si>
  <si>
    <t xml:space="preserve">For each measured property (viscosity, fineness, gloss, delta E, drying time), show me the batch average, min, max, and whether all 20 trials fall inside the spec range I give you.</t>
  </si>
  <si>
    <t xml:space="preserve">'Spec Compliance Dashboard'!A6:G10 — AVERAGE/MIN/MAX per property plus an IF check against spec bounds I input.</t>
  </si>
  <si>
    <t xml:space="preserve">2</t>
  </si>
  <si>
    <t xml:space="preserve">Also show the standard deviation for each property so I can see which one is least consistent batch-to-batch, even if every batch technically passed.</t>
  </si>
  <si>
    <t xml:space="preserve">'Spec Compliance Dashboard'!H6:H10 — STDEV per property.</t>
  </si>
  <si>
    <t xml:space="preserve">3</t>
  </si>
  <si>
    <t xml:space="preserve">Check whether Resin % actually correlates with Viscosity, and whether Pigment % correlates with Gloss and Fineness of Grind.</t>
  </si>
  <si>
    <t xml:space="preserve">'Formulation vs Property'!A5:C7 — CORREL for each recipe-vs-property pair with a plain-language interpretation.</t>
  </si>
  <si>
    <t xml:space="preserve">4</t>
  </si>
  <si>
    <t xml:space="preserve">Summarize which recipe ingredient is the real lever for each property, in one line I can put in the formulation guideline document.</t>
  </si>
  <si>
    <t xml:space="preserve">A written synthesis of the correlation table above — this is a text-generation step, same pattern as turning the adhesion regression into a technical service note.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</si>
</sst>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n">
        <v>46191</v>
      </c>
      <c r="C5" s="6" t="s">
        <v>16</v>
      </c>
      <c r="D5" s="6" t="n">
        <v>30.3</v>
      </c>
      <c r="E5" s="6" t="n">
        <v>13.3</v>
      </c>
      <c r="F5" s="6" t="n">
        <v>51.7</v>
      </c>
      <c r="G5" s="6" t="n">
        <v>4.7</v>
      </c>
      <c r="H5" s="6" t="n">
        <v>100</v>
      </c>
      <c r="I5" s="6" t="n">
        <v>35.1</v>
      </c>
      <c r="J5" s="6" t="n">
        <v>10.9</v>
      </c>
      <c r="K5" s="6" t="n">
        <v>67.3</v>
      </c>
      <c r="L5" s="6" t="n">
        <v>0.61</v>
      </c>
      <c r="M5" s="6" t="n">
        <v>23</v>
      </c>
    </row>
    <row r="6" customFormat="false" ht="15" hidden="false" customHeight="false" outlineLevel="0" collapsed="false">
      <c r="A6" s="4" t="s">
        <v>17</v>
      </c>
      <c r="B6" s="5" t="n">
        <v>46174</v>
      </c>
      <c r="C6" s="6" t="s">
        <v>18</v>
      </c>
      <c r="D6" s="6" t="n">
        <v>38</v>
      </c>
      <c r="E6" s="6" t="n">
        <v>12.1</v>
      </c>
      <c r="F6" s="6" t="n">
        <v>45.1</v>
      </c>
      <c r="G6" s="6" t="n">
        <v>4.8</v>
      </c>
      <c r="H6" s="6" t="n">
        <v>100</v>
      </c>
      <c r="I6" s="6" t="n">
        <v>49.1</v>
      </c>
      <c r="J6" s="6" t="n">
        <v>15.3</v>
      </c>
      <c r="K6" s="6" t="n">
        <v>66.4</v>
      </c>
      <c r="L6" s="6" t="n">
        <v>0.61</v>
      </c>
      <c r="M6" s="6" t="n">
        <v>21.5</v>
      </c>
    </row>
    <row r="7" customFormat="false" ht="15" hidden="false" customHeight="false" outlineLevel="0" collapsed="false">
      <c r="A7" s="4" t="s">
        <v>19</v>
      </c>
      <c r="B7" s="5" t="n">
        <v>46231</v>
      </c>
      <c r="C7" s="6" t="s">
        <v>18</v>
      </c>
      <c r="D7" s="6" t="n">
        <v>33.8</v>
      </c>
      <c r="E7" s="6" t="n">
        <v>13</v>
      </c>
      <c r="F7" s="6" t="n">
        <v>49.4</v>
      </c>
      <c r="G7" s="6" t="n">
        <v>3.8</v>
      </c>
      <c r="H7" s="6" t="n">
        <v>100</v>
      </c>
      <c r="I7" s="6" t="n">
        <v>43.2</v>
      </c>
      <c r="J7" s="6" t="n">
        <v>12.3</v>
      </c>
      <c r="K7" s="6" t="n">
        <v>68.7</v>
      </c>
      <c r="L7" s="6" t="n">
        <v>0.57</v>
      </c>
      <c r="M7" s="6" t="n">
        <v>20.8</v>
      </c>
    </row>
    <row r="8" customFormat="false" ht="15" hidden="false" customHeight="false" outlineLevel="0" collapsed="false">
      <c r="A8" s="4" t="s">
        <v>20</v>
      </c>
      <c r="B8" s="5" t="n">
        <v>46214</v>
      </c>
      <c r="C8" s="6" t="s">
        <v>18</v>
      </c>
      <c r="D8" s="6" t="n">
        <v>28.2</v>
      </c>
      <c r="E8" s="6" t="n">
        <v>12.8</v>
      </c>
      <c r="F8" s="6" t="n">
        <v>56.6</v>
      </c>
      <c r="G8" s="6" t="n">
        <v>2.4</v>
      </c>
      <c r="H8" s="6" t="n">
        <v>100</v>
      </c>
      <c r="I8" s="6" t="n">
        <v>38</v>
      </c>
      <c r="J8" s="6" t="n">
        <v>12.5</v>
      </c>
      <c r="K8" s="6" t="n">
        <v>69.3</v>
      </c>
      <c r="L8" s="6" t="n">
        <v>0.76</v>
      </c>
      <c r="M8" s="6" t="n">
        <v>27.2</v>
      </c>
    </row>
    <row r="9" customFormat="false" ht="15" hidden="false" customHeight="false" outlineLevel="0" collapsed="false">
      <c r="A9" s="4" t="s">
        <v>21</v>
      </c>
      <c r="B9" s="5" t="n">
        <v>46146</v>
      </c>
      <c r="C9" s="6" t="s">
        <v>18</v>
      </c>
      <c r="D9" s="6" t="n">
        <v>33.8</v>
      </c>
      <c r="E9" s="6" t="n">
        <v>15.5</v>
      </c>
      <c r="F9" s="6" t="n">
        <v>46.3</v>
      </c>
      <c r="G9" s="6" t="n">
        <v>4.4</v>
      </c>
      <c r="H9" s="6" t="n">
        <v>100</v>
      </c>
      <c r="I9" s="6" t="n">
        <v>48.3</v>
      </c>
      <c r="J9" s="6" t="n">
        <v>11.9</v>
      </c>
      <c r="K9" s="6" t="n">
        <v>71.4</v>
      </c>
      <c r="L9" s="6" t="n">
        <v>0.97</v>
      </c>
      <c r="M9" s="6" t="n">
        <v>23.5</v>
      </c>
    </row>
    <row r="10" customFormat="false" ht="15" hidden="false" customHeight="false" outlineLevel="0" collapsed="false">
      <c r="A10" s="4" t="s">
        <v>22</v>
      </c>
      <c r="B10" s="5" t="n">
        <v>46193</v>
      </c>
      <c r="C10" s="6" t="s">
        <v>23</v>
      </c>
      <c r="D10" s="6" t="n">
        <v>28.2</v>
      </c>
      <c r="E10" s="6" t="n">
        <v>13.1</v>
      </c>
      <c r="F10" s="6" t="n">
        <v>55.3</v>
      </c>
      <c r="G10" s="6" t="n">
        <v>3.4</v>
      </c>
      <c r="H10" s="6" t="n">
        <v>100</v>
      </c>
      <c r="I10" s="6" t="n">
        <v>36</v>
      </c>
      <c r="J10" s="6" t="n">
        <v>11.7</v>
      </c>
      <c r="K10" s="6" t="n">
        <v>67.5</v>
      </c>
      <c r="L10" s="6" t="n">
        <v>0.77</v>
      </c>
      <c r="M10" s="6" t="n">
        <v>22.7</v>
      </c>
    </row>
    <row r="11" customFormat="false" ht="15" hidden="false" customHeight="false" outlineLevel="0" collapsed="false">
      <c r="A11" s="4" t="s">
        <v>24</v>
      </c>
      <c r="B11" s="5" t="n">
        <v>46144</v>
      </c>
      <c r="C11" s="6" t="s">
        <v>18</v>
      </c>
      <c r="D11" s="6" t="n">
        <v>32.6</v>
      </c>
      <c r="E11" s="6" t="n">
        <v>13.4</v>
      </c>
      <c r="F11" s="6" t="n">
        <v>49.6</v>
      </c>
      <c r="G11" s="6" t="n">
        <v>4.4</v>
      </c>
      <c r="H11" s="6" t="n">
        <v>100</v>
      </c>
      <c r="I11" s="6" t="n">
        <v>42.3</v>
      </c>
      <c r="J11" s="6" t="n">
        <v>9.9</v>
      </c>
      <c r="K11" s="6" t="n">
        <v>67</v>
      </c>
      <c r="L11" s="6" t="n">
        <v>0.27</v>
      </c>
      <c r="M11" s="6" t="n">
        <v>25.4</v>
      </c>
    </row>
    <row r="12" customFormat="false" ht="15" hidden="false" customHeight="false" outlineLevel="0" collapsed="false">
      <c r="A12" s="4" t="s">
        <v>25</v>
      </c>
      <c r="B12" s="5" t="n">
        <v>46159</v>
      </c>
      <c r="C12" s="6" t="s">
        <v>16</v>
      </c>
      <c r="D12" s="6" t="n">
        <v>34.6</v>
      </c>
      <c r="E12" s="6" t="n">
        <v>18</v>
      </c>
      <c r="F12" s="6" t="n">
        <v>43.6</v>
      </c>
      <c r="G12" s="6" t="n">
        <v>3.8</v>
      </c>
      <c r="H12" s="6" t="n">
        <v>100</v>
      </c>
      <c r="I12" s="6" t="n">
        <v>39.4</v>
      </c>
      <c r="J12" s="6" t="n">
        <v>9.1</v>
      </c>
      <c r="K12" s="6" t="n">
        <v>74.5</v>
      </c>
      <c r="L12" s="6" t="n">
        <v>1.23</v>
      </c>
      <c r="M12" s="6" t="n">
        <v>18.9</v>
      </c>
    </row>
    <row r="13" customFormat="false" ht="15" hidden="false" customHeight="false" outlineLevel="0" collapsed="false">
      <c r="A13" s="4" t="s">
        <v>26</v>
      </c>
      <c r="B13" s="5" t="n">
        <v>46198</v>
      </c>
      <c r="C13" s="6" t="s">
        <v>16</v>
      </c>
      <c r="D13" s="6" t="n">
        <v>35.3</v>
      </c>
      <c r="E13" s="6" t="n">
        <v>17.4</v>
      </c>
      <c r="F13" s="6" t="n">
        <v>44.1</v>
      </c>
      <c r="G13" s="6" t="n">
        <v>3.2</v>
      </c>
      <c r="H13" s="6" t="n">
        <v>100</v>
      </c>
      <c r="I13" s="6" t="n">
        <v>40.7</v>
      </c>
      <c r="J13" s="6" t="n">
        <v>12.2</v>
      </c>
      <c r="K13" s="6" t="n">
        <v>70.7</v>
      </c>
      <c r="L13" s="6" t="n">
        <v>1.21</v>
      </c>
      <c r="M13" s="6" t="n">
        <v>18.9</v>
      </c>
    </row>
    <row r="14" customFormat="false" ht="15" hidden="false" customHeight="false" outlineLevel="0" collapsed="false">
      <c r="A14" s="4" t="s">
        <v>27</v>
      </c>
      <c r="B14" s="5" t="n">
        <v>46184</v>
      </c>
      <c r="C14" s="6" t="s">
        <v>18</v>
      </c>
      <c r="D14" s="6" t="n">
        <v>31.8</v>
      </c>
      <c r="E14" s="6" t="n">
        <v>19.1</v>
      </c>
      <c r="F14" s="6" t="n">
        <v>44.8</v>
      </c>
      <c r="G14" s="6" t="n">
        <v>4.3</v>
      </c>
      <c r="H14" s="6" t="n">
        <v>100</v>
      </c>
      <c r="I14" s="6" t="n">
        <v>39.6</v>
      </c>
      <c r="J14" s="6" t="n">
        <v>10.8</v>
      </c>
      <c r="K14" s="6" t="n">
        <v>71</v>
      </c>
      <c r="L14" s="6" t="n">
        <v>0.88</v>
      </c>
      <c r="M14" s="6" t="n">
        <v>20.3</v>
      </c>
    </row>
    <row r="15" customFormat="false" ht="15" hidden="false" customHeight="false" outlineLevel="0" collapsed="false">
      <c r="A15" s="4" t="s">
        <v>28</v>
      </c>
      <c r="B15" s="5" t="n">
        <v>46166</v>
      </c>
      <c r="C15" s="6" t="s">
        <v>16</v>
      </c>
      <c r="D15" s="6" t="n">
        <v>34.7</v>
      </c>
      <c r="E15" s="6" t="n">
        <v>12.5</v>
      </c>
      <c r="F15" s="6" t="n">
        <v>50.1</v>
      </c>
      <c r="G15" s="6" t="n">
        <v>2.7</v>
      </c>
      <c r="H15" s="6" t="n">
        <v>100</v>
      </c>
      <c r="I15" s="6" t="n">
        <v>45.5</v>
      </c>
      <c r="J15" s="6" t="n">
        <v>11.6</v>
      </c>
      <c r="K15" s="6" t="n">
        <v>67.3</v>
      </c>
      <c r="L15" s="6" t="n">
        <v>1.18</v>
      </c>
      <c r="M15" s="6" t="n">
        <v>22.1</v>
      </c>
    </row>
    <row r="16" customFormat="false" ht="15" hidden="false" customHeight="false" outlineLevel="0" collapsed="false">
      <c r="A16" s="4" t="s">
        <v>29</v>
      </c>
      <c r="B16" s="5" t="n">
        <v>46200</v>
      </c>
      <c r="C16" s="6" t="s">
        <v>18</v>
      </c>
      <c r="D16" s="6" t="n">
        <v>35.4</v>
      </c>
      <c r="E16" s="6" t="n">
        <v>13.5</v>
      </c>
      <c r="F16" s="6" t="n">
        <v>46.8</v>
      </c>
      <c r="G16" s="6" t="n">
        <v>4.3</v>
      </c>
      <c r="H16" s="6" t="n">
        <v>100</v>
      </c>
      <c r="I16" s="6" t="n">
        <v>47</v>
      </c>
      <c r="J16" s="6" t="n">
        <v>10.9</v>
      </c>
      <c r="K16" s="6" t="n">
        <v>70.4</v>
      </c>
      <c r="L16" s="6" t="n">
        <v>0.73</v>
      </c>
      <c r="M16" s="6" t="n">
        <v>22.8</v>
      </c>
    </row>
    <row r="17" customFormat="false" ht="15" hidden="false" customHeight="false" outlineLevel="0" collapsed="false">
      <c r="A17" s="4" t="s">
        <v>30</v>
      </c>
      <c r="B17" s="5" t="n">
        <v>46165</v>
      </c>
      <c r="C17" s="6" t="s">
        <v>18</v>
      </c>
      <c r="D17" s="6" t="n">
        <v>35.1</v>
      </c>
      <c r="E17" s="6" t="n">
        <v>13.2</v>
      </c>
      <c r="F17" s="6" t="n">
        <v>49.2</v>
      </c>
      <c r="G17" s="6" t="n">
        <v>2.5</v>
      </c>
      <c r="H17" s="6" t="n">
        <v>100</v>
      </c>
      <c r="I17" s="6" t="n">
        <v>41.1</v>
      </c>
      <c r="J17" s="6" t="n">
        <v>11.5</v>
      </c>
      <c r="K17" s="6" t="n">
        <v>61.8</v>
      </c>
      <c r="L17" s="6" t="n">
        <v>1.65</v>
      </c>
      <c r="M17" s="6" t="n">
        <v>22.7</v>
      </c>
    </row>
    <row r="18" customFormat="false" ht="15" hidden="false" customHeight="false" outlineLevel="0" collapsed="false">
      <c r="A18" s="4" t="s">
        <v>31</v>
      </c>
      <c r="B18" s="5" t="n">
        <v>46228</v>
      </c>
      <c r="C18" s="6" t="s">
        <v>18</v>
      </c>
      <c r="D18" s="6" t="n">
        <v>34.9</v>
      </c>
      <c r="E18" s="6" t="n">
        <v>13.7</v>
      </c>
      <c r="F18" s="6" t="n">
        <v>48.2</v>
      </c>
      <c r="G18" s="6" t="n">
        <v>3.2</v>
      </c>
      <c r="H18" s="6" t="n">
        <v>100</v>
      </c>
      <c r="I18" s="6" t="n">
        <v>47.2</v>
      </c>
      <c r="J18" s="6" t="n">
        <v>14.5</v>
      </c>
      <c r="K18" s="6" t="n">
        <v>65.9</v>
      </c>
      <c r="L18" s="6" t="n">
        <v>0.7</v>
      </c>
      <c r="M18" s="6" t="n">
        <v>23.1</v>
      </c>
    </row>
    <row r="19" customFormat="false" ht="15" hidden="false" customHeight="false" outlineLevel="0" collapsed="false">
      <c r="A19" s="4" t="s">
        <v>32</v>
      </c>
      <c r="B19" s="5" t="n">
        <v>46191</v>
      </c>
      <c r="C19" s="6" t="s">
        <v>18</v>
      </c>
      <c r="D19" s="6" t="n">
        <v>30.3</v>
      </c>
      <c r="E19" s="6" t="n">
        <v>13</v>
      </c>
      <c r="F19" s="6" t="n">
        <v>52.6</v>
      </c>
      <c r="G19" s="6" t="n">
        <v>4.1</v>
      </c>
      <c r="H19" s="6" t="n">
        <v>100</v>
      </c>
      <c r="I19" s="6" t="n">
        <v>36.9</v>
      </c>
      <c r="J19" s="6" t="n">
        <v>11</v>
      </c>
      <c r="K19" s="6" t="n">
        <v>67</v>
      </c>
      <c r="L19" s="6" t="n">
        <v>1.2</v>
      </c>
      <c r="M19" s="6" t="n">
        <v>24.3</v>
      </c>
    </row>
    <row r="20" customFormat="false" ht="15" hidden="false" customHeight="false" outlineLevel="0" collapsed="false">
      <c r="A20" s="4" t="s">
        <v>33</v>
      </c>
      <c r="B20" s="5" t="n">
        <v>46203</v>
      </c>
      <c r="C20" s="6" t="s">
        <v>18</v>
      </c>
      <c r="D20" s="6" t="n">
        <v>32.4</v>
      </c>
      <c r="E20" s="6" t="n">
        <v>15.9</v>
      </c>
      <c r="F20" s="6" t="n">
        <v>47</v>
      </c>
      <c r="G20" s="6" t="n">
        <v>4.7</v>
      </c>
      <c r="H20" s="6" t="n">
        <v>100</v>
      </c>
      <c r="I20" s="6" t="n">
        <v>41.8</v>
      </c>
      <c r="J20" s="6" t="n">
        <v>11.2</v>
      </c>
      <c r="K20" s="6" t="n">
        <v>73.2</v>
      </c>
      <c r="L20" s="6" t="n">
        <v>0.03</v>
      </c>
      <c r="M20" s="6" t="n">
        <v>21.5</v>
      </c>
    </row>
    <row r="21" customFormat="false" ht="15" hidden="false" customHeight="false" outlineLevel="0" collapsed="false">
      <c r="A21" s="4" t="s">
        <v>34</v>
      </c>
      <c r="B21" s="5" t="n">
        <v>46191</v>
      </c>
      <c r="C21" s="6" t="s">
        <v>23</v>
      </c>
      <c r="D21" s="6" t="n">
        <v>34.1</v>
      </c>
      <c r="E21" s="6" t="n">
        <v>20</v>
      </c>
      <c r="F21" s="6" t="n">
        <v>41.4</v>
      </c>
      <c r="G21" s="6" t="n">
        <v>4.5</v>
      </c>
      <c r="H21" s="6" t="n">
        <v>100</v>
      </c>
      <c r="I21" s="6" t="n">
        <v>41.1</v>
      </c>
      <c r="J21" s="6" t="n">
        <v>10.4</v>
      </c>
      <c r="K21" s="6" t="n">
        <v>70.9</v>
      </c>
      <c r="L21" s="6" t="n">
        <v>0.35</v>
      </c>
      <c r="M21" s="6" t="n">
        <v>13.7</v>
      </c>
    </row>
    <row r="22" customFormat="false" ht="15" hidden="false" customHeight="false" outlineLevel="0" collapsed="false">
      <c r="A22" s="4" t="s">
        <v>35</v>
      </c>
      <c r="B22" s="5" t="n">
        <v>46217</v>
      </c>
      <c r="C22" s="6" t="s">
        <v>23</v>
      </c>
      <c r="D22" s="6" t="n">
        <v>32.3</v>
      </c>
      <c r="E22" s="6" t="n">
        <v>12.1</v>
      </c>
      <c r="F22" s="6" t="n">
        <v>53.1</v>
      </c>
      <c r="G22" s="6" t="n">
        <v>2.5</v>
      </c>
      <c r="H22" s="6" t="n">
        <v>100</v>
      </c>
      <c r="I22" s="6" t="n">
        <v>42.8</v>
      </c>
      <c r="J22" s="6" t="n">
        <v>11.1</v>
      </c>
      <c r="K22" s="6" t="n">
        <v>66.8</v>
      </c>
      <c r="L22" s="6" t="n">
        <v>1.59</v>
      </c>
      <c r="M22" s="6" t="n">
        <v>24.5</v>
      </c>
    </row>
    <row r="23" customFormat="false" ht="15" hidden="false" customHeight="false" outlineLevel="0" collapsed="false">
      <c r="A23" s="4" t="s">
        <v>36</v>
      </c>
      <c r="B23" s="5" t="n">
        <v>46191</v>
      </c>
      <c r="C23" s="6" t="s">
        <v>23</v>
      </c>
      <c r="D23" s="6" t="n">
        <v>30.3</v>
      </c>
      <c r="E23" s="6" t="n">
        <v>18.8</v>
      </c>
      <c r="F23" s="6" t="n">
        <v>47</v>
      </c>
      <c r="G23" s="6" t="n">
        <v>3.9</v>
      </c>
      <c r="H23" s="6" t="n">
        <v>100</v>
      </c>
      <c r="I23" s="6" t="n">
        <v>35.7</v>
      </c>
      <c r="J23" s="6" t="n">
        <v>10.5</v>
      </c>
      <c r="K23" s="6" t="n">
        <v>73.5</v>
      </c>
      <c r="L23" s="6" t="n">
        <v>1.76</v>
      </c>
      <c r="M23" s="6" t="n">
        <v>22.7</v>
      </c>
    </row>
    <row r="24" customFormat="false" ht="15" hidden="false" customHeight="false" outlineLevel="0" collapsed="false">
      <c r="A24" s="4" t="s">
        <v>37</v>
      </c>
      <c r="B24" s="5" t="n">
        <v>46208</v>
      </c>
      <c r="C24" s="6" t="s">
        <v>18</v>
      </c>
      <c r="D24" s="6" t="n">
        <v>29.8</v>
      </c>
      <c r="E24" s="6" t="n">
        <v>12.5</v>
      </c>
      <c r="F24" s="6" t="n">
        <v>54.1</v>
      </c>
      <c r="G24" s="6" t="n">
        <v>3.6</v>
      </c>
      <c r="H24" s="6" t="n">
        <v>100</v>
      </c>
      <c r="I24" s="6" t="n">
        <v>39</v>
      </c>
      <c r="J24" s="6" t="n">
        <v>13</v>
      </c>
      <c r="K24" s="6" t="n">
        <v>70.5</v>
      </c>
      <c r="L24" s="6" t="n">
        <v>0.76</v>
      </c>
      <c r="M24" s="6" t="n">
        <v>25.4</v>
      </c>
    </row>
    <row r="26" customFormat="false" ht="15" hidden="false" customHeight="true" outlineLevel="0" collapsed="false">
      <c r="A26" s="7" t="s">
        <v>38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</sheetData>
  <mergeCells count="1">
    <mergeCell ref="A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2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8" t="s">
        <v>41</v>
      </c>
    </row>
    <row r="5" customFormat="false" ht="31.5" hidden="false" customHeight="true" outlineLevel="0" collapsed="false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</row>
    <row r="6" customFormat="false" ht="15" hidden="false" customHeight="false" outlineLevel="0" collapsed="false">
      <c r="A6" s="9" t="s">
        <v>10</v>
      </c>
      <c r="B6" s="10" t="n">
        <v>30</v>
      </c>
      <c r="C6" s="10" t="n">
        <v>60</v>
      </c>
      <c r="D6" s="11" t="n">
        <f aca="false">AVERAGE('Formulation Record'!$I$5:$I$24)</f>
        <v>41.49</v>
      </c>
      <c r="E6" s="11" t="n">
        <f aca="false">MIN('Formulation Record'!$I$5:$I$24)</f>
        <v>35.1</v>
      </c>
      <c r="F6" s="11" t="n">
        <f aca="false">MAX('Formulation Record'!$I$5:$I$24)</f>
        <v>49.1</v>
      </c>
      <c r="G6" s="12" t="str">
        <f aca="false">IF(AND(E6&gt;=B6,F6&lt;=C6),"YES","NO - some trials out of spec")</f>
        <v>YES</v>
      </c>
      <c r="H6" s="11" t="n">
        <f aca="false">STDEV('Formulation Record'!$I$5:$I$24)</f>
        <v>4.2397740754109</v>
      </c>
    </row>
    <row r="7" customFormat="false" ht="15" hidden="false" customHeight="false" outlineLevel="0" collapsed="false">
      <c r="A7" s="9" t="s">
        <v>49</v>
      </c>
      <c r="B7" s="10" t="n">
        <v>5</v>
      </c>
      <c r="C7" s="10" t="n">
        <v>12</v>
      </c>
      <c r="D7" s="11" t="n">
        <f aca="false">AVERAGE('Formulation Record'!$J$5:$J$24)</f>
        <v>11.615</v>
      </c>
      <c r="E7" s="11" t="n">
        <f aca="false">MIN('Formulation Record'!$J$5:$J$24)</f>
        <v>9.1</v>
      </c>
      <c r="F7" s="11" t="n">
        <f aca="false">MAX('Formulation Record'!$J$5:$J$24)</f>
        <v>15.3</v>
      </c>
      <c r="G7" s="12" t="str">
        <f aca="false">IF(AND(E7&gt;=B7,F7&lt;=C7),"YES","NO - some trials out of spec")</f>
        <v>NO - some trials out of spec</v>
      </c>
      <c r="H7" s="11" t="n">
        <f aca="false">STDEV('Formulation Record'!$J$5:$J$24)</f>
        <v>1.45105224977564</v>
      </c>
    </row>
    <row r="8" customFormat="false" ht="15" hidden="false" customHeight="false" outlineLevel="0" collapsed="false">
      <c r="A8" s="9" t="s">
        <v>12</v>
      </c>
      <c r="B8" s="10" t="n">
        <v>65</v>
      </c>
      <c r="C8" s="10" t="n">
        <v>90</v>
      </c>
      <c r="D8" s="11" t="n">
        <f aca="false">AVERAGE('Formulation Record'!$K$5:$K$24)</f>
        <v>69.055</v>
      </c>
      <c r="E8" s="11" t="n">
        <f aca="false">MIN('Formulation Record'!$K$5:$K$24)</f>
        <v>61.8</v>
      </c>
      <c r="F8" s="11" t="n">
        <f aca="false">MAX('Formulation Record'!$K$5:$K$24)</f>
        <v>74.5</v>
      </c>
      <c r="G8" s="12" t="str">
        <f aca="false">IF(AND(E8&gt;=B8,F8&lt;=C8),"YES","NO - some trials out of spec")</f>
        <v>NO - some trials out of spec</v>
      </c>
      <c r="H8" s="11" t="n">
        <f aca="false">STDEV('Formulation Record'!$K$5:$K$24)</f>
        <v>3.05914934856769</v>
      </c>
    </row>
    <row r="9" customFormat="false" ht="15" hidden="false" customHeight="false" outlineLevel="0" collapsed="false">
      <c r="A9" s="9" t="s">
        <v>50</v>
      </c>
      <c r="B9" s="10" t="n">
        <v>0</v>
      </c>
      <c r="C9" s="10" t="n">
        <v>2</v>
      </c>
      <c r="D9" s="11" t="n">
        <f aca="false">AVERAGE('Formulation Record'!$L$5:$L$24)</f>
        <v>0.8915</v>
      </c>
      <c r="E9" s="11" t="n">
        <f aca="false">MIN('Formulation Record'!$L$5:$L$24)</f>
        <v>0.03</v>
      </c>
      <c r="F9" s="11" t="n">
        <f aca="false">MAX('Formulation Record'!$L$5:$L$24)</f>
        <v>1.76</v>
      </c>
      <c r="G9" s="12" t="str">
        <f aca="false">IF(AND(E9&gt;=B9,F9&lt;=C9),"YES","NO - some trials out of spec")</f>
        <v>YES</v>
      </c>
      <c r="H9" s="11" t="n">
        <f aca="false">STDEV('Formulation Record'!$L$5:$L$24)</f>
        <v>0.459625419570969</v>
      </c>
    </row>
    <row r="10" customFormat="false" ht="15" hidden="false" customHeight="false" outlineLevel="0" collapsed="false">
      <c r="A10" s="9" t="s">
        <v>14</v>
      </c>
      <c r="B10" s="10" t="n">
        <v>15</v>
      </c>
      <c r="C10" s="10" t="n">
        <v>30</v>
      </c>
      <c r="D10" s="11" t="n">
        <f aca="false">AVERAGE('Formulation Record'!$M$5:$M$24)</f>
        <v>22.25</v>
      </c>
      <c r="E10" s="11" t="n">
        <f aca="false">MIN('Formulation Record'!$M$5:$M$24)</f>
        <v>13.7</v>
      </c>
      <c r="F10" s="11" t="n">
        <f aca="false">MAX('Formulation Record'!$M$5:$M$24)</f>
        <v>27.2</v>
      </c>
      <c r="G10" s="12" t="str">
        <f aca="false">IF(AND(E10&gt;=B10,F10&lt;=C10),"YES","NO - some trials out of spec")</f>
        <v>NO - some trials out of spec</v>
      </c>
      <c r="H10" s="11" t="n">
        <f aca="false">STDEV('Formulation Record'!$M$5:$M$24)</f>
        <v>2.90163293409255</v>
      </c>
    </row>
    <row r="12" customFormat="false" ht="15" hidden="false" customHeight="false" outlineLevel="0" collapsed="false">
      <c r="A12" s="13" t="s">
        <v>51</v>
      </c>
      <c r="B12" s="13"/>
      <c r="C12" s="13"/>
      <c r="D12" s="13"/>
      <c r="E12" s="13"/>
      <c r="F12" s="13"/>
      <c r="G12" s="13"/>
      <c r="H12" s="13"/>
    </row>
  </sheetData>
  <mergeCells count="1"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31.5" hidden="false" customHeight="true" outlineLevel="0" collapsed="false">
      <c r="A4" s="3" t="s">
        <v>54</v>
      </c>
      <c r="B4" s="3" t="s">
        <v>55</v>
      </c>
      <c r="C4" s="3" t="s">
        <v>56</v>
      </c>
    </row>
    <row r="5" customFormat="false" ht="15" hidden="false" customHeight="false" outlineLevel="0" collapsed="false">
      <c r="A5" s="9" t="s">
        <v>57</v>
      </c>
      <c r="B5" s="11" t="n">
        <f aca="false">CORREL('Formulation Record'!$D$5:$D$24,'Formulation Record'!$I$5:$I$24)</f>
        <v>0.784915817134646</v>
      </c>
      <c r="C5" s="12" t="str">
        <f aca="false">IF(ABS(B5)&gt;=0.6,"Strong relationship - formulation lever confirmed",IF(ABS(B5)&gt;=0.3,"Moderate","Weak - other factors dominate"))</f>
        <v>Strong relationship - formulation lever confirmed</v>
      </c>
    </row>
    <row r="6" customFormat="false" ht="15" hidden="false" customHeight="false" outlineLevel="0" collapsed="false">
      <c r="A6" s="9" t="s">
        <v>58</v>
      </c>
      <c r="B6" s="11" t="n">
        <f aca="false">CORREL('Formulation Record'!$E$5:$E$24,'Formulation Record'!$K$5:$K$24)</f>
        <v>0.682479320349386</v>
      </c>
      <c r="C6" s="12" t="str">
        <f aca="false">IF(ABS(B6)&gt;=0.6,"Strong relationship - formulation lever confirmed",IF(ABS(B6)&gt;=0.3,"Moderate","Weak - other factors dominate"))</f>
        <v>Strong relationship - formulation lever confirmed</v>
      </c>
    </row>
    <row r="7" customFormat="false" ht="15" hidden="false" customHeight="false" outlineLevel="0" collapsed="false">
      <c r="A7" s="9" t="s">
        <v>59</v>
      </c>
      <c r="B7" s="11" t="n">
        <f aca="false">CORREL('Formulation Record'!$E$5:$E$24,'Formulation Record'!$J$5:$J$24)</f>
        <v>-0.466888123230683</v>
      </c>
      <c r="C7" s="12" t="str">
        <f aca="false">IF(ABS(B7)&gt;=0.6,"Strong relationship - formulation lever confirmed",IF(ABS(B7)&gt;=0.3,"Moderate","Weak - other factors dominate"))</f>
        <v>Moderate</v>
      </c>
    </row>
    <row r="9" customFormat="false" ht="15" hidden="false" customHeight="false" outlineLevel="0" collapsed="false">
      <c r="A9" s="13" t="s">
        <v>60</v>
      </c>
      <c r="B9" s="13"/>
      <c r="C9" s="13"/>
    </row>
  </sheetData>
  <mergeCells count="1"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31.5" hidden="false" customHeight="true" outlineLevel="0" collapsed="false">
      <c r="A4" s="3" t="s">
        <v>63</v>
      </c>
      <c r="B4" s="3" t="s">
        <v>64</v>
      </c>
      <c r="C4" s="3" t="s">
        <v>65</v>
      </c>
    </row>
    <row r="5" customFormat="false" ht="63.75" hidden="false" customHeight="true" outlineLevel="0" collapsed="false">
      <c r="A5" s="4" t="s">
        <v>66</v>
      </c>
      <c r="B5" s="14" t="s">
        <v>67</v>
      </c>
      <c r="C5" s="14" t="s">
        <v>68</v>
      </c>
    </row>
    <row r="6" customFormat="false" ht="63.75" hidden="false" customHeight="true" outlineLevel="0" collapsed="false">
      <c r="A6" s="4" t="s">
        <v>69</v>
      </c>
      <c r="B6" s="14" t="s">
        <v>70</v>
      </c>
      <c r="C6" s="14" t="s">
        <v>71</v>
      </c>
    </row>
    <row r="7" customFormat="false" ht="63.75" hidden="false" customHeight="true" outlineLevel="0" collapsed="false">
      <c r="A7" s="4" t="s">
        <v>72</v>
      </c>
      <c r="B7" s="14" t="s">
        <v>73</v>
      </c>
      <c r="C7" s="14" t="s">
        <v>74</v>
      </c>
    </row>
    <row r="8" customFormat="false" ht="63.75" hidden="false" customHeight="true" outlineLevel="0" collapsed="false">
      <c r="A8" s="4" t="s">
        <v>75</v>
      </c>
      <c r="B8" s="14" t="s">
        <v>76</v>
      </c>
      <c r="C8" s="1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2026-09-27T18:14:39Z</dcterms:created>
  <dc:creator>openpyxl</dc:creator>
  <dc:description/>
  <dc:language>en-US</dc:language>
  <cp:lastModifiedBy/>
  <dcterms:modified xsi:type="dcterms:W3CDTF">2026-09-27T18:14:39Z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