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M Master" sheetId="1" state="visible" r:id="rId3"/>
    <sheet name="Compliance Dashboard" sheetId="2" state="visible" r:id="rId4"/>
    <sheet name="Expiry &amp; Renewal Tracker" sheetId="3" state="visible" r:id="rId5"/>
    <sheet name="Copilot Prom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<sst xmlns="http://schemas.openxmlformats.org/spreadsheetml/2006/main" count="224" uniqueCount="114">
  <si>
    <t xml:space="preserve">PEREPA EDU — Raw Material Master with Regulatory Status</t>
  </si>
  <si>
    <t xml:space="preserve">16 key raw materials for a packaging ink manufacturer, with compliance and stock data</t>
  </si>
  <si>
    <t xml:space="preserve">RM Code</t>
  </si>
  <si>
    <t xml:space="preserve">Material Name</t>
  </si>
  <si>
    <t xml:space="preserve">Category</t>
  </si>
  <si>
    <t xml:space="preserve">Supplier</t>
  </si>
  <si>
    <t xml:space="preserve">Used in Food-Contact
Formulation?</t>
  </si>
  <si>
    <t xml:space="preserve">Food-Contact
Approved?</t>
  </si>
  <si>
    <t xml:space="preserve">REACH
Registered?</t>
  </si>
  <si>
    <t xml:space="preserve">SDS on File?</t>
  </si>
  <si>
    <t xml:space="preserve">CoA on File?</t>
  </si>
  <si>
    <t xml:space="preserve">Migration Limit
Status</t>
  </si>
  <si>
    <t xml:space="preserve">Stock Qty (kg)</t>
  </si>
  <si>
    <t xml:space="preserve">Reorder Point (kg)</t>
  </si>
  <si>
    <t xml:space="preserve">Registration
Expiry Date</t>
  </si>
  <si>
    <t xml:space="preserve">Batch Shelf-Life
Expiry Date</t>
  </si>
  <si>
    <t xml:space="preserve">RM-101</t>
  </si>
  <si>
    <t xml:space="preserve">Acrylic Resin AR-40</t>
  </si>
  <si>
    <t xml:space="preserve">Resin</t>
  </si>
  <si>
    <t xml:space="preserve">Allnex India</t>
  </si>
  <si>
    <t xml:space="preserve">Y</t>
  </si>
  <si>
    <t xml:space="preserve">Pass</t>
  </si>
  <si>
    <t xml:space="preserve">RM-102</t>
  </si>
  <si>
    <t xml:space="preserve">Polyamide Resin PA-12</t>
  </si>
  <si>
    <t xml:space="preserve">Arkema</t>
  </si>
  <si>
    <t xml:space="preserve">RM-103</t>
  </si>
  <si>
    <t xml:space="preserve">Nitrocellulose Resin NC-A</t>
  </si>
  <si>
    <t xml:space="preserve">Nitrochemie</t>
  </si>
  <si>
    <t xml:space="preserve">N</t>
  </si>
  <si>
    <t xml:space="preserve">Pending</t>
  </si>
  <si>
    <t xml:space="preserve">RM-201</t>
  </si>
  <si>
    <t xml:space="preserve">Phthalocyanine Blue Pigment</t>
  </si>
  <si>
    <t xml:space="preserve">Pigment</t>
  </si>
  <si>
    <t xml:space="preserve">Sun Chemical Colors</t>
  </si>
  <si>
    <t xml:space="preserve">RM-202</t>
  </si>
  <si>
    <t xml:space="preserve">Titanium Dioxide (Rutile)</t>
  </si>
  <si>
    <t xml:space="preserve">Kronos</t>
  </si>
  <si>
    <t xml:space="preserve">RM-203</t>
  </si>
  <si>
    <t xml:space="preserve">Azo Yellow Pigment (Legacy)</t>
  </si>
  <si>
    <t xml:space="preserve">Local Supplier Co</t>
  </si>
  <si>
    <t xml:space="preserve">Fail</t>
  </si>
  <si>
    <t xml:space="preserve">RM-204</t>
  </si>
  <si>
    <t xml:space="preserve">Carbon Black Pigment</t>
  </si>
  <si>
    <t xml:space="preserve">Cabot</t>
  </si>
  <si>
    <t xml:space="preserve">RM-301</t>
  </si>
  <si>
    <t xml:space="preserve">Ethyl Acetate</t>
  </si>
  <si>
    <t xml:space="preserve">Solvent</t>
  </si>
  <si>
    <t xml:space="preserve">Godavari Biorefineries</t>
  </si>
  <si>
    <t xml:space="preserve">RM-302</t>
  </si>
  <si>
    <t xml:space="preserve">Isopropyl Alcohol (IPA)</t>
  </si>
  <si>
    <t xml:space="preserve">Deepak Fertilisers</t>
  </si>
  <si>
    <t xml:space="preserve">RM-303</t>
  </si>
  <si>
    <t xml:space="preserve">Toluene</t>
  </si>
  <si>
    <t xml:space="preserve">Reliance Industries</t>
  </si>
  <si>
    <t xml:space="preserve">RM-304</t>
  </si>
  <si>
    <t xml:space="preserve">Methyl Ethyl Ketone (MEK)</t>
  </si>
  <si>
    <t xml:space="preserve">RM-305</t>
  </si>
  <si>
    <t xml:space="preserve">n-Propyl Acetate</t>
  </si>
  <si>
    <t xml:space="preserve">RM-401</t>
  </si>
  <si>
    <t xml:space="preserve">Wax Additive (Slip Agent)</t>
  </si>
  <si>
    <t xml:space="preserve">Additive</t>
  </si>
  <si>
    <t xml:space="preserve">BYK Additives</t>
  </si>
  <si>
    <t xml:space="preserve">RM-402</t>
  </si>
  <si>
    <t xml:space="preserve">Defoamer DF-22</t>
  </si>
  <si>
    <t xml:space="preserve">Evonik</t>
  </si>
  <si>
    <t xml:space="preserve">RM-403</t>
  </si>
  <si>
    <t xml:space="preserve">UV Stabilizer Additive</t>
  </si>
  <si>
    <t xml:space="preserve">BASF</t>
  </si>
  <si>
    <t xml:space="preserve">RM-404</t>
  </si>
  <si>
    <t xml:space="preserve">Anti-Blocking Additive</t>
  </si>
  <si>
    <t xml:space="preserve">Blue cells = inputs. In practice this master sits in the ERP/SAP material master, with SDS/CoA/registration data pulled from the regulatory affairs document system.</t>
  </si>
  <si>
    <t xml:space="preserve">Regulatory Compliance Dashboard</t>
  </si>
  <si>
    <t xml:space="preserve">Snapshot counts, plus the highest-risk cross-check: non-approved material used in food-contact ink</t>
  </si>
  <si>
    <t xml:space="preserve">Metric</t>
  </si>
  <si>
    <t xml:space="preserve">Count / Value</t>
  </si>
  <si>
    <t xml:space="preserve">Total Raw Materials</t>
  </si>
  <si>
    <t xml:space="preserve">Food-Contact Approved (Y)</t>
  </si>
  <si>
    <t xml:space="preserve">REACH Registered (Y)</t>
  </si>
  <si>
    <t xml:space="preserve">Missing SDS</t>
  </si>
  <si>
    <t xml:space="preserve">Missing CoA</t>
  </si>
  <si>
    <t xml:space="preserve">Migration Status = Fail</t>
  </si>
  <si>
    <t xml:space="preserve">Migration Status = Pending</t>
  </si>
  <si>
    <t xml:space="preserve">HIGH-RISK CROSS-CHECK: Used in Food-Contact Formulation but NOT Food-Contact Approved</t>
  </si>
  <si>
    <t xml:space="preserve">Used in Food-Contact?</t>
  </si>
  <si>
    <t xml:space="preserve">Food-Contact Approved?</t>
  </si>
  <si>
    <t xml:space="preserve">Any row shaded red here is a live compliance breach in progress — a non-food-contact-approved material is being used in a food-contact ink. This should stop production, not wait for the next audit.</t>
  </si>
  <si>
    <t xml:space="preserve">Registration &amp; Shelf-Life Expiry Tracker</t>
  </si>
  <si>
    <t xml:space="preserve">Flags anything overdue or due within the alert window</t>
  </si>
  <si>
    <t xml:space="preserve">Reference (Today's) Date</t>
  </si>
  <si>
    <t xml:space="preserve">Alert Window (days)</t>
  </si>
  <si>
    <t xml:space="preserve">Registration Expiry</t>
  </si>
  <si>
    <t xml:space="preserve">Days to Reg. Expiry</t>
  </si>
  <si>
    <t xml:space="preserve">Reg. Status</t>
  </si>
  <si>
    <t xml:space="preserve">Batch Shelf-Life Expiry</t>
  </si>
  <si>
    <t xml:space="preserve">Days to Shelf Expiry</t>
  </si>
  <si>
    <t xml:space="preserve">Shelf Status</t>
  </si>
  <si>
    <t xml:space="preserve">Red = already overdue/expired (act now). Gold = inside the alert window (renew or reorder before it becomes red).</t>
  </si>
  <si>
    <t xml:space="preserve">How Regulatory/Purchasing Used Copilot to Build This RM Compliance Model</t>
  </si>
  <si>
    <t xml:space="preserve">Training reference: prompt sequence and what Copilot generated</t>
  </si>
  <si>
    <t xml:space="preserve">Step</t>
  </si>
  <si>
    <t xml:space="preserve">Prompt Typed Into Copilot</t>
  </si>
  <si>
    <t xml:space="preserve">What Copilot Built / Which Cells</t>
  </si>
  <si>
    <t xml:space="preserve">1</t>
  </si>
  <si>
    <t xml:space="preserve">From this raw material master, count how many are food-contact approved, REACH registered, and how many are missing an SDS or CoA on file.</t>
  </si>
  <si>
    <t xml:space="preserve">'Compliance Dashboard'!A5:B11 — COUNTIF/COUNTA summary metrics.</t>
  </si>
  <si>
    <t xml:space="preserve">2</t>
  </si>
  <si>
    <t xml:space="preserve">Cross-check: find any raw material that IS used in a food-contact formulation but is NOT food-contact approved. This is the highest-risk gap.</t>
  </si>
  <si>
    <t xml:space="preserve">'Compliance Dashboard'!A9:D19 (approx) — a filtered list pulling every RM, with rows where Used=Y and Approved=N flagged red — Copilot can also write this as a single IF/AND formula instead of eyeballing the table.</t>
  </si>
  <si>
    <t xml:space="preserve">3</t>
  </si>
  <si>
    <t xml:space="preserve">For every raw material, calculate days remaining to registration expiry and to batch shelf-life expiry from today's date, and flag anything overdue or due within 90 days.</t>
  </si>
  <si>
    <t xml:space="preserve">'Expiry &amp; Renewal Tracker'!A8:H23 — date subtraction plus nested IF flags for both registration and shelf-life, colour-coded red/gold.</t>
  </si>
  <si>
    <t xml:space="preserve">4</t>
  </si>
  <si>
    <t xml:space="preserve">Draft a short email to Purchasing listing every raw material that needs regulatory renewal or reorder in the next 90 days, in priority order.</t>
  </si>
  <si>
    <t xml:space="preserve">A text-generation step off the Expiry &amp; Renewal Tracker table — same 'turn the numbers into a written note' pattern used in the other labs.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</si>
</sst>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4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20</v>
      </c>
      <c r="G5" s="5" t="s">
        <v>20</v>
      </c>
      <c r="H5" s="5" t="s">
        <v>20</v>
      </c>
      <c r="I5" s="5" t="s">
        <v>20</v>
      </c>
      <c r="J5" s="5" t="s">
        <v>21</v>
      </c>
      <c r="K5" s="5" t="n">
        <v>1250</v>
      </c>
      <c r="L5" s="5" t="n">
        <v>400</v>
      </c>
      <c r="M5" s="6" t="n">
        <v>46568</v>
      </c>
      <c r="N5" s="6" t="n">
        <v>46371</v>
      </c>
    </row>
    <row r="6" customFormat="false" ht="15" hidden="false" customHeight="false" outlineLevel="0" collapsed="false">
      <c r="A6" s="4" t="s">
        <v>22</v>
      </c>
      <c r="B6" s="5" t="s">
        <v>23</v>
      </c>
      <c r="C6" s="5" t="s">
        <v>18</v>
      </c>
      <c r="D6" s="5" t="s">
        <v>24</v>
      </c>
      <c r="E6" s="5" t="s">
        <v>20</v>
      </c>
      <c r="F6" s="5" t="s">
        <v>20</v>
      </c>
      <c r="G6" s="5" t="s">
        <v>20</v>
      </c>
      <c r="H6" s="5" t="s">
        <v>20</v>
      </c>
      <c r="I6" s="5" t="s">
        <v>20</v>
      </c>
      <c r="J6" s="5" t="s">
        <v>21</v>
      </c>
      <c r="K6" s="5" t="n">
        <v>680</v>
      </c>
      <c r="L6" s="5" t="n">
        <v>250</v>
      </c>
      <c r="M6" s="6" t="n">
        <v>46477</v>
      </c>
      <c r="N6" s="6" t="n">
        <v>46407</v>
      </c>
    </row>
    <row r="7" customFormat="false" ht="15" hidden="false" customHeight="false" outlineLevel="0" collapsed="false">
      <c r="A7" s="4" t="s">
        <v>25</v>
      </c>
      <c r="B7" s="5" t="s">
        <v>26</v>
      </c>
      <c r="C7" s="5" t="s">
        <v>18</v>
      </c>
      <c r="D7" s="5" t="s">
        <v>27</v>
      </c>
      <c r="E7" s="5" t="s">
        <v>28</v>
      </c>
      <c r="F7" s="5" t="s">
        <v>20</v>
      </c>
      <c r="G7" s="5" t="s">
        <v>20</v>
      </c>
      <c r="H7" s="5" t="s">
        <v>20</v>
      </c>
      <c r="I7" s="5" t="s">
        <v>28</v>
      </c>
      <c r="J7" s="5" t="s">
        <v>29</v>
      </c>
      <c r="K7" s="5" t="n">
        <v>410</v>
      </c>
      <c r="L7" s="5" t="n">
        <v>200</v>
      </c>
      <c r="M7" s="6" t="n">
        <v>46356</v>
      </c>
      <c r="N7" s="6" t="n">
        <v>46325</v>
      </c>
    </row>
    <row r="8" customFormat="false" ht="15" hidden="false" customHeight="false" outlineLevel="0" collapsed="false">
      <c r="A8" s="4" t="s">
        <v>30</v>
      </c>
      <c r="B8" s="5" t="s">
        <v>31</v>
      </c>
      <c r="C8" s="5" t="s">
        <v>32</v>
      </c>
      <c r="D8" s="5" t="s">
        <v>33</v>
      </c>
      <c r="E8" s="5" t="s">
        <v>20</v>
      </c>
      <c r="F8" s="5" t="s">
        <v>20</v>
      </c>
      <c r="G8" s="5" t="s">
        <v>20</v>
      </c>
      <c r="H8" s="5" t="s">
        <v>20</v>
      </c>
      <c r="I8" s="5" t="s">
        <v>20</v>
      </c>
      <c r="J8" s="5" t="s">
        <v>21</v>
      </c>
      <c r="K8" s="5" t="n">
        <v>320</v>
      </c>
      <c r="L8" s="5" t="n">
        <v>100</v>
      </c>
      <c r="M8" s="6" t="n">
        <v>46630</v>
      </c>
      <c r="N8" s="6" t="n">
        <v>46492</v>
      </c>
    </row>
    <row r="9" customFormat="false" ht="15" hidden="false" customHeight="false" outlineLevel="0" collapsed="false">
      <c r="A9" s="4" t="s">
        <v>34</v>
      </c>
      <c r="B9" s="5" t="s">
        <v>35</v>
      </c>
      <c r="C9" s="5" t="s">
        <v>32</v>
      </c>
      <c r="D9" s="5" t="s">
        <v>36</v>
      </c>
      <c r="E9" s="5" t="s">
        <v>20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21</v>
      </c>
      <c r="K9" s="5" t="n">
        <v>560</v>
      </c>
      <c r="L9" s="5" t="n">
        <v>200</v>
      </c>
      <c r="M9" s="6" t="n">
        <v>46783</v>
      </c>
      <c r="N9" s="6" t="n">
        <v>46568</v>
      </c>
    </row>
    <row r="10" customFormat="false" ht="15" hidden="false" customHeight="false" outlineLevel="0" collapsed="false">
      <c r="A10" s="4" t="s">
        <v>37</v>
      </c>
      <c r="B10" s="5" t="s">
        <v>38</v>
      </c>
      <c r="C10" s="5" t="s">
        <v>32</v>
      </c>
      <c r="D10" s="5" t="s">
        <v>39</v>
      </c>
      <c r="E10" s="5" t="s">
        <v>20</v>
      </c>
      <c r="F10" s="5" t="s">
        <v>28</v>
      </c>
      <c r="G10" s="5" t="s">
        <v>28</v>
      </c>
      <c r="H10" s="5" t="s">
        <v>20</v>
      </c>
      <c r="I10" s="5" t="s">
        <v>28</v>
      </c>
      <c r="J10" s="5" t="s">
        <v>40</v>
      </c>
      <c r="K10" s="5" t="n">
        <v>95</v>
      </c>
      <c r="L10" s="5" t="n">
        <v>50</v>
      </c>
      <c r="M10" s="6" t="n">
        <v>46310</v>
      </c>
      <c r="N10" s="6" t="n">
        <v>46331</v>
      </c>
    </row>
    <row r="11" customFormat="false" ht="15" hidden="false" customHeight="false" outlineLevel="0" collapsed="false">
      <c r="A11" s="4" t="s">
        <v>41</v>
      </c>
      <c r="B11" s="5" t="s">
        <v>42</v>
      </c>
      <c r="C11" s="5" t="s">
        <v>32</v>
      </c>
      <c r="D11" s="5" t="s">
        <v>43</v>
      </c>
      <c r="E11" s="5" t="s">
        <v>28</v>
      </c>
      <c r="F11" s="5" t="s">
        <v>20</v>
      </c>
      <c r="G11" s="5" t="s">
        <v>20</v>
      </c>
      <c r="H11" s="5" t="s">
        <v>20</v>
      </c>
      <c r="I11" s="5" t="s">
        <v>20</v>
      </c>
      <c r="J11" s="5" t="s">
        <v>21</v>
      </c>
      <c r="K11" s="5" t="n">
        <v>210</v>
      </c>
      <c r="L11" s="5" t="n">
        <v>80</v>
      </c>
      <c r="M11" s="6" t="n">
        <v>46538</v>
      </c>
      <c r="N11" s="6" t="n">
        <v>46446</v>
      </c>
    </row>
    <row r="12" customFormat="false" ht="15" hidden="false" customHeight="false" outlineLevel="0" collapsed="false">
      <c r="A12" s="4" t="s">
        <v>44</v>
      </c>
      <c r="B12" s="5" t="s">
        <v>45</v>
      </c>
      <c r="C12" s="5" t="s">
        <v>46</v>
      </c>
      <c r="D12" s="5" t="s">
        <v>47</v>
      </c>
      <c r="E12" s="5" t="s">
        <v>20</v>
      </c>
      <c r="F12" s="5" t="s">
        <v>20</v>
      </c>
      <c r="G12" s="5" t="s">
        <v>20</v>
      </c>
      <c r="H12" s="5" t="s">
        <v>20</v>
      </c>
      <c r="I12" s="5" t="s">
        <v>20</v>
      </c>
      <c r="J12" s="5" t="s">
        <v>21</v>
      </c>
      <c r="K12" s="5" t="n">
        <v>2400</v>
      </c>
      <c r="L12" s="5" t="n">
        <v>800</v>
      </c>
      <c r="M12" s="6" t="n">
        <v>46446</v>
      </c>
      <c r="N12" s="6" t="n">
        <v>46387</v>
      </c>
    </row>
    <row r="13" customFormat="false" ht="15" hidden="false" customHeight="false" outlineLevel="0" collapsed="false">
      <c r="A13" s="4" t="s">
        <v>48</v>
      </c>
      <c r="B13" s="5" t="s">
        <v>49</v>
      </c>
      <c r="C13" s="5" t="s">
        <v>46</v>
      </c>
      <c r="D13" s="5" t="s">
        <v>50</v>
      </c>
      <c r="E13" s="5" t="s">
        <v>20</v>
      </c>
      <c r="F13" s="5" t="s">
        <v>20</v>
      </c>
      <c r="G13" s="5" t="s">
        <v>20</v>
      </c>
      <c r="H13" s="5" t="s">
        <v>20</v>
      </c>
      <c r="I13" s="5" t="s">
        <v>20</v>
      </c>
      <c r="J13" s="5" t="s">
        <v>21</v>
      </c>
      <c r="K13" s="5" t="n">
        <v>1800</v>
      </c>
      <c r="L13" s="5" t="n">
        <v>600</v>
      </c>
      <c r="M13" s="6" t="n">
        <v>46599</v>
      </c>
      <c r="N13" s="6" t="n">
        <v>46461</v>
      </c>
    </row>
    <row r="14" customFormat="false" ht="15" hidden="false" customHeight="false" outlineLevel="0" collapsed="false">
      <c r="A14" s="4" t="s">
        <v>51</v>
      </c>
      <c r="B14" s="5" t="s">
        <v>52</v>
      </c>
      <c r="C14" s="5" t="s">
        <v>46</v>
      </c>
      <c r="D14" s="5" t="s">
        <v>53</v>
      </c>
      <c r="E14" s="5" t="s">
        <v>28</v>
      </c>
      <c r="F14" s="5" t="s">
        <v>20</v>
      </c>
      <c r="G14" s="5" t="s">
        <v>20</v>
      </c>
      <c r="H14" s="5" t="s">
        <v>20</v>
      </c>
      <c r="I14" s="5" t="s">
        <v>20</v>
      </c>
      <c r="J14" s="5" t="s">
        <v>21</v>
      </c>
      <c r="K14" s="5" t="n">
        <v>900</v>
      </c>
      <c r="L14" s="5" t="n">
        <v>350</v>
      </c>
      <c r="M14" s="6" t="n">
        <v>46387</v>
      </c>
      <c r="N14" s="6" t="n">
        <v>46346</v>
      </c>
    </row>
    <row r="15" customFormat="false" ht="15" hidden="false" customHeight="false" outlineLevel="0" collapsed="false">
      <c r="A15" s="4" t="s">
        <v>54</v>
      </c>
      <c r="B15" s="5" t="s">
        <v>55</v>
      </c>
      <c r="C15" s="5" t="s">
        <v>46</v>
      </c>
      <c r="D15" s="5" t="s">
        <v>39</v>
      </c>
      <c r="E15" s="5" t="s">
        <v>28</v>
      </c>
      <c r="F15" s="5" t="s">
        <v>20</v>
      </c>
      <c r="G15" s="5" t="s">
        <v>28</v>
      </c>
      <c r="H15" s="5" t="s">
        <v>28</v>
      </c>
      <c r="I15" s="5" t="s">
        <v>28</v>
      </c>
      <c r="J15" s="5" t="s">
        <v>29</v>
      </c>
      <c r="K15" s="5" t="n">
        <v>640</v>
      </c>
      <c r="L15" s="5" t="n">
        <v>250</v>
      </c>
      <c r="M15" s="6" t="n">
        <v>46326</v>
      </c>
      <c r="N15" s="6" t="n">
        <v>46320</v>
      </c>
    </row>
    <row r="16" customFormat="false" ht="15" hidden="false" customHeight="false" outlineLevel="0" collapsed="false">
      <c r="A16" s="4" t="s">
        <v>56</v>
      </c>
      <c r="B16" s="5" t="s">
        <v>57</v>
      </c>
      <c r="C16" s="5" t="s">
        <v>46</v>
      </c>
      <c r="D16" s="5" t="s">
        <v>47</v>
      </c>
      <c r="E16" s="5" t="s">
        <v>20</v>
      </c>
      <c r="F16" s="5" t="s">
        <v>20</v>
      </c>
      <c r="G16" s="5" t="s">
        <v>20</v>
      </c>
      <c r="H16" s="5" t="s">
        <v>20</v>
      </c>
      <c r="I16" s="5" t="s">
        <v>20</v>
      </c>
      <c r="J16" s="5" t="s">
        <v>21</v>
      </c>
      <c r="K16" s="5" t="n">
        <v>1100</v>
      </c>
      <c r="L16" s="5" t="n">
        <v>400</v>
      </c>
      <c r="M16" s="6" t="n">
        <v>46660</v>
      </c>
      <c r="N16" s="6" t="n">
        <v>46517</v>
      </c>
    </row>
    <row r="17" customFormat="false" ht="15" hidden="false" customHeight="false" outlineLevel="0" collapsed="false">
      <c r="A17" s="4" t="s">
        <v>58</v>
      </c>
      <c r="B17" s="5" t="s">
        <v>59</v>
      </c>
      <c r="C17" s="5" t="s">
        <v>60</v>
      </c>
      <c r="D17" s="5" t="s">
        <v>61</v>
      </c>
      <c r="E17" s="5" t="s">
        <v>20</v>
      </c>
      <c r="F17" s="5" t="s">
        <v>20</v>
      </c>
      <c r="G17" s="5" t="s">
        <v>20</v>
      </c>
      <c r="H17" s="5" t="s">
        <v>20</v>
      </c>
      <c r="I17" s="5" t="s">
        <v>20</v>
      </c>
      <c r="J17" s="5" t="s">
        <v>21</v>
      </c>
      <c r="K17" s="5" t="n">
        <v>180</v>
      </c>
      <c r="L17" s="5" t="n">
        <v>60</v>
      </c>
      <c r="M17" s="6" t="n">
        <v>46507</v>
      </c>
      <c r="N17" s="6" t="n">
        <v>46418</v>
      </c>
    </row>
    <row r="18" customFormat="false" ht="15" hidden="false" customHeight="false" outlineLevel="0" collapsed="false">
      <c r="A18" s="4" t="s">
        <v>62</v>
      </c>
      <c r="B18" s="5" t="s">
        <v>63</v>
      </c>
      <c r="C18" s="5" t="s">
        <v>60</v>
      </c>
      <c r="D18" s="5" t="s">
        <v>64</v>
      </c>
      <c r="E18" s="5" t="s">
        <v>28</v>
      </c>
      <c r="F18" s="5" t="s">
        <v>20</v>
      </c>
      <c r="G18" s="5" t="s">
        <v>20</v>
      </c>
      <c r="H18" s="5" t="s">
        <v>20</v>
      </c>
      <c r="I18" s="5" t="s">
        <v>20</v>
      </c>
      <c r="J18" s="5" t="s">
        <v>21</v>
      </c>
      <c r="K18" s="5" t="n">
        <v>140</v>
      </c>
      <c r="L18" s="5" t="n">
        <v>50</v>
      </c>
      <c r="M18" s="6" t="n">
        <v>46721</v>
      </c>
      <c r="N18" s="6" t="n">
        <v>46568</v>
      </c>
    </row>
    <row r="19" customFormat="false" ht="15" hidden="false" customHeight="false" outlineLevel="0" collapsed="false">
      <c r="A19" s="4" t="s">
        <v>65</v>
      </c>
      <c r="B19" s="5" t="s">
        <v>66</v>
      </c>
      <c r="C19" s="5" t="s">
        <v>60</v>
      </c>
      <c r="D19" s="5" t="s">
        <v>67</v>
      </c>
      <c r="E19" s="5" t="s">
        <v>20</v>
      </c>
      <c r="F19" s="5" t="s">
        <v>20</v>
      </c>
      <c r="G19" s="5" t="s">
        <v>20</v>
      </c>
      <c r="H19" s="5" t="s">
        <v>28</v>
      </c>
      <c r="I19" s="5" t="s">
        <v>20</v>
      </c>
      <c r="J19" s="5" t="s">
        <v>29</v>
      </c>
      <c r="K19" s="5" t="n">
        <v>75</v>
      </c>
      <c r="L19" s="5" t="n">
        <v>40</v>
      </c>
      <c r="M19" s="6" t="n">
        <v>46336</v>
      </c>
      <c r="N19" s="6" t="n">
        <v>46433</v>
      </c>
    </row>
    <row r="20" customFormat="false" ht="15" hidden="false" customHeight="false" outlineLevel="0" collapsed="false">
      <c r="A20" s="4" t="s">
        <v>68</v>
      </c>
      <c r="B20" s="5" t="s">
        <v>69</v>
      </c>
      <c r="C20" s="5" t="s">
        <v>60</v>
      </c>
      <c r="D20" s="5" t="s">
        <v>39</v>
      </c>
      <c r="E20" s="5" t="s">
        <v>28</v>
      </c>
      <c r="F20" s="5" t="s">
        <v>28</v>
      </c>
      <c r="G20" s="5" t="s">
        <v>28</v>
      </c>
      <c r="H20" s="5" t="s">
        <v>28</v>
      </c>
      <c r="I20" s="5" t="s">
        <v>28</v>
      </c>
      <c r="J20" s="5" t="s">
        <v>40</v>
      </c>
      <c r="K20" s="5" t="n">
        <v>60</v>
      </c>
      <c r="L20" s="5" t="n">
        <v>30</v>
      </c>
      <c r="M20" s="6" t="n">
        <v>46295</v>
      </c>
      <c r="N20" s="6" t="n">
        <v>46305</v>
      </c>
    </row>
    <row r="22" customFormat="false" ht="15" hidden="false" customHeight="false" outlineLevel="0" collapsed="false">
      <c r="A22" s="7" t="s">
        <v>70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</sheetData>
  <mergeCells count="1">
    <mergeCell ref="A22:N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4" min="3" style="0" width="22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31.5" hidden="false" customHeight="true" outlineLevel="0" collapsed="false">
      <c r="A4" s="3" t="s">
        <v>73</v>
      </c>
      <c r="B4" s="3" t="s">
        <v>74</v>
      </c>
    </row>
    <row r="5" customFormat="false" ht="15" hidden="false" customHeight="false" outlineLevel="0" collapsed="false">
      <c r="A5" s="8" t="s">
        <v>75</v>
      </c>
      <c r="B5" s="9" t="n">
        <f aca="false">COUNTA('RM Master'!$A$5:$A$20)</f>
        <v>16</v>
      </c>
    </row>
    <row r="6" customFormat="false" ht="15" hidden="false" customHeight="false" outlineLevel="0" collapsed="false">
      <c r="A6" s="8" t="s">
        <v>76</v>
      </c>
      <c r="B6" s="9" t="n">
        <f aca="false">COUNTIF('RM Master'!$F$5:$F$20,"Y")</f>
        <v>14</v>
      </c>
    </row>
    <row r="7" customFormat="false" ht="15" hidden="false" customHeight="false" outlineLevel="0" collapsed="false">
      <c r="A7" s="8" t="s">
        <v>77</v>
      </c>
      <c r="B7" s="9" t="n">
        <f aca="false">COUNTIF('RM Master'!$G$5:$G$20,"Y")</f>
        <v>13</v>
      </c>
    </row>
    <row r="8" customFormat="false" ht="15" hidden="false" customHeight="false" outlineLevel="0" collapsed="false">
      <c r="A8" s="8" t="s">
        <v>78</v>
      </c>
      <c r="B8" s="9" t="n">
        <f aca="false">COUNTIF('RM Master'!$H$5:$H$20,"N")</f>
        <v>3</v>
      </c>
    </row>
    <row r="9" customFormat="false" ht="15" hidden="false" customHeight="false" outlineLevel="0" collapsed="false">
      <c r="A9" s="8" t="s">
        <v>79</v>
      </c>
      <c r="B9" s="9" t="n">
        <f aca="false">COUNTIF('RM Master'!$I$5:$I$20,"N")</f>
        <v>4</v>
      </c>
    </row>
    <row r="10" customFormat="false" ht="15" hidden="false" customHeight="false" outlineLevel="0" collapsed="false">
      <c r="A10" s="8" t="s">
        <v>80</v>
      </c>
      <c r="B10" s="9" t="n">
        <f aca="false">COUNTIF('RM Master'!$J$5:$J$20,"Fail")</f>
        <v>2</v>
      </c>
    </row>
    <row r="11" customFormat="false" ht="15" hidden="false" customHeight="false" outlineLevel="0" collapsed="false">
      <c r="A11" s="8" t="s">
        <v>81</v>
      </c>
      <c r="B11" s="9" t="n">
        <f aca="false">COUNTIF('RM Master'!$J$5:$J$20,"Pending")</f>
        <v>3</v>
      </c>
    </row>
    <row r="14" customFormat="false" ht="15" hidden="false" customHeight="false" outlineLevel="0" collapsed="false">
      <c r="A14" s="10" t="s">
        <v>82</v>
      </c>
      <c r="B14" s="10"/>
      <c r="C14" s="10"/>
      <c r="D14" s="10"/>
    </row>
    <row r="15" customFormat="false" ht="31.5" hidden="false" customHeight="true" outlineLevel="0" collapsed="false">
      <c r="A15" s="3" t="s">
        <v>2</v>
      </c>
      <c r="B15" s="3" t="s">
        <v>3</v>
      </c>
      <c r="C15" s="3" t="s">
        <v>83</v>
      </c>
      <c r="D15" s="3" t="s">
        <v>84</v>
      </c>
    </row>
    <row r="16" customFormat="false" ht="15" hidden="false" customHeight="false" outlineLevel="0" collapsed="false">
      <c r="A16" s="11" t="str">
        <f aca="false">'RM Master'!A5</f>
        <v>RM-101</v>
      </c>
      <c r="B16" s="12" t="str">
        <f aca="false">'RM Master'!B5</f>
        <v>Acrylic Resin AR-40</v>
      </c>
      <c r="C16" s="11" t="str">
        <f aca="false">'RM Master'!E5</f>
        <v>Y</v>
      </c>
      <c r="D16" s="11" t="str">
        <f aca="false">'RM Master'!F5</f>
        <v>Y</v>
      </c>
    </row>
    <row r="17" customFormat="false" ht="15" hidden="false" customHeight="false" outlineLevel="0" collapsed="false">
      <c r="A17" s="11" t="str">
        <f aca="false">'RM Master'!A6</f>
        <v>RM-102</v>
      </c>
      <c r="B17" s="12" t="str">
        <f aca="false">'RM Master'!B6</f>
        <v>Polyamide Resin PA-12</v>
      </c>
      <c r="C17" s="11" t="str">
        <f aca="false">'RM Master'!E6</f>
        <v>Y</v>
      </c>
      <c r="D17" s="11" t="str">
        <f aca="false">'RM Master'!F6</f>
        <v>Y</v>
      </c>
    </row>
    <row r="18" customFormat="false" ht="15" hidden="false" customHeight="false" outlineLevel="0" collapsed="false">
      <c r="A18" s="11" t="str">
        <f aca="false">'RM Master'!A7</f>
        <v>RM-103</v>
      </c>
      <c r="B18" s="12" t="str">
        <f aca="false">'RM Master'!B7</f>
        <v>Nitrocellulose Resin NC-A</v>
      </c>
      <c r="C18" s="11" t="str">
        <f aca="false">'RM Master'!E7</f>
        <v>N</v>
      </c>
      <c r="D18" s="11" t="str">
        <f aca="false">'RM Master'!F7</f>
        <v>Y</v>
      </c>
    </row>
    <row r="19" customFormat="false" ht="15" hidden="false" customHeight="false" outlineLevel="0" collapsed="false">
      <c r="A19" s="11" t="str">
        <f aca="false">'RM Master'!A8</f>
        <v>RM-201</v>
      </c>
      <c r="B19" s="12" t="str">
        <f aca="false">'RM Master'!B8</f>
        <v>Phthalocyanine Blue Pigment</v>
      </c>
      <c r="C19" s="11" t="str">
        <f aca="false">'RM Master'!E8</f>
        <v>Y</v>
      </c>
      <c r="D19" s="11" t="str">
        <f aca="false">'RM Master'!F8</f>
        <v>Y</v>
      </c>
    </row>
    <row r="20" customFormat="false" ht="15" hidden="false" customHeight="false" outlineLevel="0" collapsed="false">
      <c r="A20" s="11" t="str">
        <f aca="false">'RM Master'!A9</f>
        <v>RM-202</v>
      </c>
      <c r="B20" s="12" t="str">
        <f aca="false">'RM Master'!B9</f>
        <v>Titanium Dioxide (Rutile)</v>
      </c>
      <c r="C20" s="11" t="str">
        <f aca="false">'RM Master'!E9</f>
        <v>Y</v>
      </c>
      <c r="D20" s="11" t="str">
        <f aca="false">'RM Master'!F9</f>
        <v>Y</v>
      </c>
    </row>
    <row r="21" customFormat="false" ht="15" hidden="false" customHeight="false" outlineLevel="0" collapsed="false">
      <c r="A21" s="13" t="str">
        <f aca="false">'RM Master'!A10</f>
        <v>RM-203</v>
      </c>
      <c r="B21" s="14" t="str">
        <f aca="false">'RM Master'!B10</f>
        <v>Azo Yellow Pigment (Legacy)</v>
      </c>
      <c r="C21" s="13" t="str">
        <f aca="false">'RM Master'!E10</f>
        <v>Y</v>
      </c>
      <c r="D21" s="13" t="str">
        <f aca="false">'RM Master'!F10</f>
        <v>N</v>
      </c>
    </row>
    <row r="22" customFormat="false" ht="15" hidden="false" customHeight="false" outlineLevel="0" collapsed="false">
      <c r="A22" s="11" t="str">
        <f aca="false">'RM Master'!A11</f>
        <v>RM-204</v>
      </c>
      <c r="B22" s="12" t="str">
        <f aca="false">'RM Master'!B11</f>
        <v>Carbon Black Pigment</v>
      </c>
      <c r="C22" s="11" t="str">
        <f aca="false">'RM Master'!E11</f>
        <v>N</v>
      </c>
      <c r="D22" s="11" t="str">
        <f aca="false">'RM Master'!F11</f>
        <v>Y</v>
      </c>
    </row>
    <row r="23" customFormat="false" ht="15" hidden="false" customHeight="false" outlineLevel="0" collapsed="false">
      <c r="A23" s="11" t="str">
        <f aca="false">'RM Master'!A12</f>
        <v>RM-301</v>
      </c>
      <c r="B23" s="12" t="str">
        <f aca="false">'RM Master'!B12</f>
        <v>Ethyl Acetate</v>
      </c>
      <c r="C23" s="11" t="str">
        <f aca="false">'RM Master'!E12</f>
        <v>Y</v>
      </c>
      <c r="D23" s="11" t="str">
        <f aca="false">'RM Master'!F12</f>
        <v>Y</v>
      </c>
    </row>
    <row r="24" customFormat="false" ht="15" hidden="false" customHeight="false" outlineLevel="0" collapsed="false">
      <c r="A24" s="11" t="str">
        <f aca="false">'RM Master'!A13</f>
        <v>RM-302</v>
      </c>
      <c r="B24" s="12" t="str">
        <f aca="false">'RM Master'!B13</f>
        <v>Isopropyl Alcohol (IPA)</v>
      </c>
      <c r="C24" s="11" t="str">
        <f aca="false">'RM Master'!E13</f>
        <v>Y</v>
      </c>
      <c r="D24" s="11" t="str">
        <f aca="false">'RM Master'!F13</f>
        <v>Y</v>
      </c>
    </row>
    <row r="25" customFormat="false" ht="15" hidden="false" customHeight="false" outlineLevel="0" collapsed="false">
      <c r="A25" s="11" t="str">
        <f aca="false">'RM Master'!A14</f>
        <v>RM-303</v>
      </c>
      <c r="B25" s="12" t="str">
        <f aca="false">'RM Master'!B14</f>
        <v>Toluene</v>
      </c>
      <c r="C25" s="11" t="str">
        <f aca="false">'RM Master'!E14</f>
        <v>N</v>
      </c>
      <c r="D25" s="11" t="str">
        <f aca="false">'RM Master'!F14</f>
        <v>Y</v>
      </c>
    </row>
    <row r="26" customFormat="false" ht="15" hidden="false" customHeight="false" outlineLevel="0" collapsed="false">
      <c r="A26" s="11" t="str">
        <f aca="false">'RM Master'!A15</f>
        <v>RM-304</v>
      </c>
      <c r="B26" s="12" t="str">
        <f aca="false">'RM Master'!B15</f>
        <v>Methyl Ethyl Ketone (MEK)</v>
      </c>
      <c r="C26" s="11" t="str">
        <f aca="false">'RM Master'!E15</f>
        <v>N</v>
      </c>
      <c r="D26" s="11" t="str">
        <f aca="false">'RM Master'!F15</f>
        <v>Y</v>
      </c>
    </row>
    <row r="27" customFormat="false" ht="15" hidden="false" customHeight="false" outlineLevel="0" collapsed="false">
      <c r="A27" s="11" t="str">
        <f aca="false">'RM Master'!A16</f>
        <v>RM-305</v>
      </c>
      <c r="B27" s="12" t="str">
        <f aca="false">'RM Master'!B16</f>
        <v>n-Propyl Acetate</v>
      </c>
      <c r="C27" s="11" t="str">
        <f aca="false">'RM Master'!E16</f>
        <v>Y</v>
      </c>
      <c r="D27" s="11" t="str">
        <f aca="false">'RM Master'!F16</f>
        <v>Y</v>
      </c>
    </row>
    <row r="28" customFormat="false" ht="15" hidden="false" customHeight="false" outlineLevel="0" collapsed="false">
      <c r="A28" s="11" t="str">
        <f aca="false">'RM Master'!A17</f>
        <v>RM-401</v>
      </c>
      <c r="B28" s="12" t="str">
        <f aca="false">'RM Master'!B17</f>
        <v>Wax Additive (Slip Agent)</v>
      </c>
      <c r="C28" s="11" t="str">
        <f aca="false">'RM Master'!E17</f>
        <v>Y</v>
      </c>
      <c r="D28" s="11" t="str">
        <f aca="false">'RM Master'!F17</f>
        <v>Y</v>
      </c>
    </row>
    <row r="29" customFormat="false" ht="15" hidden="false" customHeight="false" outlineLevel="0" collapsed="false">
      <c r="A29" s="11" t="str">
        <f aca="false">'RM Master'!A18</f>
        <v>RM-402</v>
      </c>
      <c r="B29" s="12" t="str">
        <f aca="false">'RM Master'!B18</f>
        <v>Defoamer DF-22</v>
      </c>
      <c r="C29" s="11" t="str">
        <f aca="false">'RM Master'!E18</f>
        <v>N</v>
      </c>
      <c r="D29" s="11" t="str">
        <f aca="false">'RM Master'!F18</f>
        <v>Y</v>
      </c>
    </row>
    <row r="30" customFormat="false" ht="15" hidden="false" customHeight="false" outlineLevel="0" collapsed="false">
      <c r="A30" s="11" t="str">
        <f aca="false">'RM Master'!A19</f>
        <v>RM-403</v>
      </c>
      <c r="B30" s="12" t="str">
        <f aca="false">'RM Master'!B19</f>
        <v>UV Stabilizer Additive</v>
      </c>
      <c r="C30" s="11" t="str">
        <f aca="false">'RM Master'!E19</f>
        <v>Y</v>
      </c>
      <c r="D30" s="11" t="str">
        <f aca="false">'RM Master'!F19</f>
        <v>Y</v>
      </c>
    </row>
    <row r="31" customFormat="false" ht="15" hidden="false" customHeight="false" outlineLevel="0" collapsed="false">
      <c r="A31" s="11" t="str">
        <f aca="false">'RM Master'!A20</f>
        <v>RM-404</v>
      </c>
      <c r="B31" s="12" t="str">
        <f aca="false">'RM Master'!B20</f>
        <v>Anti-Blocking Additive</v>
      </c>
      <c r="C31" s="11" t="str">
        <f aca="false">'RM Master'!E20</f>
        <v>N</v>
      </c>
      <c r="D31" s="11" t="str">
        <f aca="false">'RM Master'!F20</f>
        <v>N</v>
      </c>
    </row>
    <row r="33" customFormat="false" ht="15" hidden="false" customHeight="false" outlineLevel="0" collapsed="false">
      <c r="A33" s="7" t="s">
        <v>85</v>
      </c>
      <c r="B33" s="7"/>
      <c r="C33" s="7"/>
      <c r="D33" s="7"/>
    </row>
  </sheetData>
  <mergeCells count="2">
    <mergeCell ref="A14:D14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15" t="s">
        <v>88</v>
      </c>
      <c r="C4" s="16" t="n">
        <v>46327</v>
      </c>
    </row>
    <row r="5" customFormat="false" ht="15" hidden="false" customHeight="false" outlineLevel="0" collapsed="false">
      <c r="A5" s="15" t="s">
        <v>89</v>
      </c>
      <c r="C5" s="17" t="n">
        <v>90</v>
      </c>
    </row>
    <row r="7" customFormat="false" ht="31.5" hidden="false" customHeight="true" outlineLevel="0" collapsed="false">
      <c r="A7" s="3" t="s">
        <v>2</v>
      </c>
      <c r="B7" s="3" t="s">
        <v>3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</row>
    <row r="8" customFormat="false" ht="15" hidden="false" customHeight="false" outlineLevel="0" collapsed="false">
      <c r="A8" s="18" t="str">
        <f aca="false">'RM Master'!A5</f>
        <v>RM-101</v>
      </c>
      <c r="B8" s="19" t="str">
        <f aca="false">'RM Master'!B5</f>
        <v>Acrylic Resin AR-40</v>
      </c>
      <c r="C8" s="20" t="n">
        <f aca="false">'RM Master'!M5</f>
        <v>46568</v>
      </c>
      <c r="D8" s="18" t="n">
        <f aca="false">C8-$C$4</f>
        <v>241</v>
      </c>
      <c r="E8" s="18" t="str">
        <f aca="false">IF(D8&lt;0,"OVERDUE - RENEW NOW",IF(D8&lt;=$C$5,"DUE SOON","OK"))</f>
        <v>OK</v>
      </c>
      <c r="F8" s="20" t="n">
        <f aca="false">'RM Master'!N5</f>
        <v>46371</v>
      </c>
      <c r="G8" s="18" t="n">
        <f aca="false">F8-$C$4</f>
        <v>44</v>
      </c>
      <c r="H8" s="18" t="str">
        <f aca="false">IF(G8&lt;0,"EXPIRED - DO NOT USE",IF(G8&lt;=$C$5,"USE SOON","OK"))</f>
        <v>USE SOON</v>
      </c>
    </row>
    <row r="9" customFormat="false" ht="15" hidden="false" customHeight="false" outlineLevel="0" collapsed="false">
      <c r="A9" s="18" t="str">
        <f aca="false">'RM Master'!A6</f>
        <v>RM-102</v>
      </c>
      <c r="B9" s="19" t="str">
        <f aca="false">'RM Master'!B6</f>
        <v>Polyamide Resin PA-12</v>
      </c>
      <c r="C9" s="20" t="n">
        <f aca="false">'RM Master'!M6</f>
        <v>46477</v>
      </c>
      <c r="D9" s="18" t="n">
        <f aca="false">C9-$C$4</f>
        <v>150</v>
      </c>
      <c r="E9" s="18" t="str">
        <f aca="false">IF(D9&lt;0,"OVERDUE - RENEW NOW",IF(D9&lt;=$C$5,"DUE SOON","OK"))</f>
        <v>OK</v>
      </c>
      <c r="F9" s="20" t="n">
        <f aca="false">'RM Master'!N6</f>
        <v>46407</v>
      </c>
      <c r="G9" s="18" t="n">
        <f aca="false">F9-$C$4</f>
        <v>80</v>
      </c>
      <c r="H9" s="18" t="str">
        <f aca="false">IF(G9&lt;0,"EXPIRED - DO NOT USE",IF(G9&lt;=$C$5,"USE SOON","OK"))</f>
        <v>USE SOON</v>
      </c>
    </row>
    <row r="10" customFormat="false" ht="15" hidden="false" customHeight="false" outlineLevel="0" collapsed="false">
      <c r="A10" s="13" t="str">
        <f aca="false">'RM Master'!A7</f>
        <v>RM-103</v>
      </c>
      <c r="B10" s="14" t="str">
        <f aca="false">'RM Master'!B7</f>
        <v>Nitrocellulose Resin NC-A</v>
      </c>
      <c r="C10" s="21" t="n">
        <f aca="false">'RM Master'!M7</f>
        <v>46356</v>
      </c>
      <c r="D10" s="13" t="n">
        <f aca="false">C10-$C$4</f>
        <v>29</v>
      </c>
      <c r="E10" s="13" t="str">
        <f aca="false">IF(D10&lt;0,"OVERDUE - RENEW NOW",IF(D10&lt;=$C$5,"DUE SOON","OK"))</f>
        <v>DUE SOON</v>
      </c>
      <c r="F10" s="21" t="n">
        <f aca="false">'RM Master'!N7</f>
        <v>46325</v>
      </c>
      <c r="G10" s="13" t="n">
        <f aca="false">F10-$C$4</f>
        <v>-2</v>
      </c>
      <c r="H10" s="13" t="str">
        <f aca="false">IF(G10&lt;0,"EXPIRED - DO NOT USE",IF(G10&lt;=$C$5,"USE SOON","OK"))</f>
        <v>EXPIRED - DO NOT USE</v>
      </c>
    </row>
    <row r="11" customFormat="false" ht="15" hidden="false" customHeight="false" outlineLevel="0" collapsed="false">
      <c r="A11" s="11" t="str">
        <f aca="false">'RM Master'!A8</f>
        <v>RM-201</v>
      </c>
      <c r="B11" s="12" t="str">
        <f aca="false">'RM Master'!B8</f>
        <v>Phthalocyanine Blue Pigment</v>
      </c>
      <c r="C11" s="22" t="n">
        <f aca="false">'RM Master'!M8</f>
        <v>46630</v>
      </c>
      <c r="D11" s="11" t="n">
        <f aca="false">C11-$C$4</f>
        <v>303</v>
      </c>
      <c r="E11" s="11" t="str">
        <f aca="false">IF(D11&lt;0,"OVERDUE - RENEW NOW",IF(D11&lt;=$C$5,"DUE SOON","OK"))</f>
        <v>OK</v>
      </c>
      <c r="F11" s="22" t="n">
        <f aca="false">'RM Master'!N8</f>
        <v>46492</v>
      </c>
      <c r="G11" s="11" t="n">
        <f aca="false">F11-$C$4</f>
        <v>165</v>
      </c>
      <c r="H11" s="11" t="str">
        <f aca="false">IF(G11&lt;0,"EXPIRED - DO NOT USE",IF(G11&lt;=$C$5,"USE SOON","OK"))</f>
        <v>OK</v>
      </c>
    </row>
    <row r="12" customFormat="false" ht="15" hidden="false" customHeight="false" outlineLevel="0" collapsed="false">
      <c r="A12" s="11" t="str">
        <f aca="false">'RM Master'!A9</f>
        <v>RM-202</v>
      </c>
      <c r="B12" s="12" t="str">
        <f aca="false">'RM Master'!B9</f>
        <v>Titanium Dioxide (Rutile)</v>
      </c>
      <c r="C12" s="22" t="n">
        <f aca="false">'RM Master'!M9</f>
        <v>46783</v>
      </c>
      <c r="D12" s="11" t="n">
        <f aca="false">C12-$C$4</f>
        <v>456</v>
      </c>
      <c r="E12" s="11" t="str">
        <f aca="false">IF(D12&lt;0,"OVERDUE - RENEW NOW",IF(D12&lt;=$C$5,"DUE SOON","OK"))</f>
        <v>OK</v>
      </c>
      <c r="F12" s="22" t="n">
        <f aca="false">'RM Master'!N9</f>
        <v>46568</v>
      </c>
      <c r="G12" s="11" t="n">
        <f aca="false">F12-$C$4</f>
        <v>241</v>
      </c>
      <c r="H12" s="11" t="str">
        <f aca="false">IF(G12&lt;0,"EXPIRED - DO NOT USE",IF(G12&lt;=$C$5,"USE SOON","OK"))</f>
        <v>OK</v>
      </c>
    </row>
    <row r="13" customFormat="false" ht="15" hidden="false" customHeight="false" outlineLevel="0" collapsed="false">
      <c r="A13" s="13" t="str">
        <f aca="false">'RM Master'!A10</f>
        <v>RM-203</v>
      </c>
      <c r="B13" s="14" t="str">
        <f aca="false">'RM Master'!B10</f>
        <v>Azo Yellow Pigment (Legacy)</v>
      </c>
      <c r="C13" s="21" t="n">
        <f aca="false">'RM Master'!M10</f>
        <v>46310</v>
      </c>
      <c r="D13" s="13" t="n">
        <f aca="false">C13-$C$4</f>
        <v>-17</v>
      </c>
      <c r="E13" s="13" t="str">
        <f aca="false">IF(D13&lt;0,"OVERDUE - RENEW NOW",IF(D13&lt;=$C$5,"DUE SOON","OK"))</f>
        <v>OVERDUE - RENEW NOW</v>
      </c>
      <c r="F13" s="21" t="n">
        <f aca="false">'RM Master'!N10</f>
        <v>46331</v>
      </c>
      <c r="G13" s="13" t="n">
        <f aca="false">F13-$C$4</f>
        <v>4</v>
      </c>
      <c r="H13" s="13" t="str">
        <f aca="false">IF(G13&lt;0,"EXPIRED - DO NOT USE",IF(G13&lt;=$C$5,"USE SOON","OK"))</f>
        <v>USE SOON</v>
      </c>
    </row>
    <row r="14" customFormat="false" ht="15" hidden="false" customHeight="false" outlineLevel="0" collapsed="false">
      <c r="A14" s="11" t="str">
        <f aca="false">'RM Master'!A11</f>
        <v>RM-204</v>
      </c>
      <c r="B14" s="12" t="str">
        <f aca="false">'RM Master'!B11</f>
        <v>Carbon Black Pigment</v>
      </c>
      <c r="C14" s="22" t="n">
        <f aca="false">'RM Master'!M11</f>
        <v>46538</v>
      </c>
      <c r="D14" s="11" t="n">
        <f aca="false">C14-$C$4</f>
        <v>211</v>
      </c>
      <c r="E14" s="11" t="str">
        <f aca="false">IF(D14&lt;0,"OVERDUE - RENEW NOW",IF(D14&lt;=$C$5,"DUE SOON","OK"))</f>
        <v>OK</v>
      </c>
      <c r="F14" s="22" t="n">
        <f aca="false">'RM Master'!N11</f>
        <v>46446</v>
      </c>
      <c r="G14" s="11" t="n">
        <f aca="false">F14-$C$4</f>
        <v>119</v>
      </c>
      <c r="H14" s="11" t="str">
        <f aca="false">IF(G14&lt;0,"EXPIRED - DO NOT USE",IF(G14&lt;=$C$5,"USE SOON","OK"))</f>
        <v>OK</v>
      </c>
    </row>
    <row r="15" customFormat="false" ht="15" hidden="false" customHeight="false" outlineLevel="0" collapsed="false">
      <c r="A15" s="18" t="str">
        <f aca="false">'RM Master'!A12</f>
        <v>RM-301</v>
      </c>
      <c r="B15" s="19" t="str">
        <f aca="false">'RM Master'!B12</f>
        <v>Ethyl Acetate</v>
      </c>
      <c r="C15" s="20" t="n">
        <f aca="false">'RM Master'!M12</f>
        <v>46446</v>
      </c>
      <c r="D15" s="18" t="n">
        <f aca="false">C15-$C$4</f>
        <v>119</v>
      </c>
      <c r="E15" s="18" t="str">
        <f aca="false">IF(D15&lt;0,"OVERDUE - RENEW NOW",IF(D15&lt;=$C$5,"DUE SOON","OK"))</f>
        <v>OK</v>
      </c>
      <c r="F15" s="20" t="n">
        <f aca="false">'RM Master'!N12</f>
        <v>46387</v>
      </c>
      <c r="G15" s="18" t="n">
        <f aca="false">F15-$C$4</f>
        <v>60</v>
      </c>
      <c r="H15" s="18" t="str">
        <f aca="false">IF(G15&lt;0,"EXPIRED - DO NOT USE",IF(G15&lt;=$C$5,"USE SOON","OK"))</f>
        <v>USE SOON</v>
      </c>
    </row>
    <row r="16" customFormat="false" ht="15" hidden="false" customHeight="false" outlineLevel="0" collapsed="false">
      <c r="A16" s="11" t="str">
        <f aca="false">'RM Master'!A13</f>
        <v>RM-302</v>
      </c>
      <c r="B16" s="12" t="str">
        <f aca="false">'RM Master'!B13</f>
        <v>Isopropyl Alcohol (IPA)</v>
      </c>
      <c r="C16" s="22" t="n">
        <f aca="false">'RM Master'!M13</f>
        <v>46599</v>
      </c>
      <c r="D16" s="11" t="n">
        <f aca="false">C16-$C$4</f>
        <v>272</v>
      </c>
      <c r="E16" s="11" t="str">
        <f aca="false">IF(D16&lt;0,"OVERDUE - RENEW NOW",IF(D16&lt;=$C$5,"DUE SOON","OK"))</f>
        <v>OK</v>
      </c>
      <c r="F16" s="22" t="n">
        <f aca="false">'RM Master'!N13</f>
        <v>46461</v>
      </c>
      <c r="G16" s="11" t="n">
        <f aca="false">F16-$C$4</f>
        <v>134</v>
      </c>
      <c r="H16" s="11" t="str">
        <f aca="false">IF(G16&lt;0,"EXPIRED - DO NOT USE",IF(G16&lt;=$C$5,"USE SOON","OK"))</f>
        <v>OK</v>
      </c>
    </row>
    <row r="17" customFormat="false" ht="15" hidden="false" customHeight="false" outlineLevel="0" collapsed="false">
      <c r="A17" s="18" t="str">
        <f aca="false">'RM Master'!A14</f>
        <v>RM-303</v>
      </c>
      <c r="B17" s="19" t="str">
        <f aca="false">'RM Master'!B14</f>
        <v>Toluene</v>
      </c>
      <c r="C17" s="20" t="n">
        <f aca="false">'RM Master'!M14</f>
        <v>46387</v>
      </c>
      <c r="D17" s="18" t="n">
        <f aca="false">C17-$C$4</f>
        <v>60</v>
      </c>
      <c r="E17" s="18" t="str">
        <f aca="false">IF(D17&lt;0,"OVERDUE - RENEW NOW",IF(D17&lt;=$C$5,"DUE SOON","OK"))</f>
        <v>DUE SOON</v>
      </c>
      <c r="F17" s="20" t="n">
        <f aca="false">'RM Master'!N14</f>
        <v>46346</v>
      </c>
      <c r="G17" s="18" t="n">
        <f aca="false">F17-$C$4</f>
        <v>19</v>
      </c>
      <c r="H17" s="18" t="str">
        <f aca="false">IF(G17&lt;0,"EXPIRED - DO NOT USE",IF(G17&lt;=$C$5,"USE SOON","OK"))</f>
        <v>USE SOON</v>
      </c>
    </row>
    <row r="18" customFormat="false" ht="15" hidden="false" customHeight="false" outlineLevel="0" collapsed="false">
      <c r="A18" s="13" t="str">
        <f aca="false">'RM Master'!A15</f>
        <v>RM-304</v>
      </c>
      <c r="B18" s="14" t="str">
        <f aca="false">'RM Master'!B15</f>
        <v>Methyl Ethyl Ketone (MEK)</v>
      </c>
      <c r="C18" s="21" t="n">
        <f aca="false">'RM Master'!M15</f>
        <v>46326</v>
      </c>
      <c r="D18" s="13" t="n">
        <f aca="false">C18-$C$4</f>
        <v>-1</v>
      </c>
      <c r="E18" s="13" t="str">
        <f aca="false">IF(D18&lt;0,"OVERDUE - RENEW NOW",IF(D18&lt;=$C$5,"DUE SOON","OK"))</f>
        <v>OVERDUE - RENEW NOW</v>
      </c>
      <c r="F18" s="21" t="n">
        <f aca="false">'RM Master'!N15</f>
        <v>46320</v>
      </c>
      <c r="G18" s="13" t="n">
        <f aca="false">F18-$C$4</f>
        <v>-7</v>
      </c>
      <c r="H18" s="13" t="str">
        <f aca="false">IF(G18&lt;0,"EXPIRED - DO NOT USE",IF(G18&lt;=$C$5,"USE SOON","OK"))</f>
        <v>EXPIRED - DO NOT USE</v>
      </c>
    </row>
    <row r="19" customFormat="false" ht="15" hidden="false" customHeight="false" outlineLevel="0" collapsed="false">
      <c r="A19" s="11" t="str">
        <f aca="false">'RM Master'!A16</f>
        <v>RM-305</v>
      </c>
      <c r="B19" s="12" t="str">
        <f aca="false">'RM Master'!B16</f>
        <v>n-Propyl Acetate</v>
      </c>
      <c r="C19" s="22" t="n">
        <f aca="false">'RM Master'!M16</f>
        <v>46660</v>
      </c>
      <c r="D19" s="11" t="n">
        <f aca="false">C19-$C$4</f>
        <v>333</v>
      </c>
      <c r="E19" s="11" t="str">
        <f aca="false">IF(D19&lt;0,"OVERDUE - RENEW NOW",IF(D19&lt;=$C$5,"DUE SOON","OK"))</f>
        <v>OK</v>
      </c>
      <c r="F19" s="22" t="n">
        <f aca="false">'RM Master'!N16</f>
        <v>46517</v>
      </c>
      <c r="G19" s="11" t="n">
        <f aca="false">F19-$C$4</f>
        <v>190</v>
      </c>
      <c r="H19" s="11" t="str">
        <f aca="false">IF(G19&lt;0,"EXPIRED - DO NOT USE",IF(G19&lt;=$C$5,"USE SOON","OK"))</f>
        <v>OK</v>
      </c>
    </row>
    <row r="20" customFormat="false" ht="15" hidden="false" customHeight="false" outlineLevel="0" collapsed="false">
      <c r="A20" s="11" t="str">
        <f aca="false">'RM Master'!A17</f>
        <v>RM-401</v>
      </c>
      <c r="B20" s="12" t="str">
        <f aca="false">'RM Master'!B17</f>
        <v>Wax Additive (Slip Agent)</v>
      </c>
      <c r="C20" s="22" t="n">
        <f aca="false">'RM Master'!M17</f>
        <v>46507</v>
      </c>
      <c r="D20" s="11" t="n">
        <f aca="false">C20-$C$4</f>
        <v>180</v>
      </c>
      <c r="E20" s="11" t="str">
        <f aca="false">IF(D20&lt;0,"OVERDUE - RENEW NOW",IF(D20&lt;=$C$5,"DUE SOON","OK"))</f>
        <v>OK</v>
      </c>
      <c r="F20" s="22" t="n">
        <f aca="false">'RM Master'!N17</f>
        <v>46418</v>
      </c>
      <c r="G20" s="11" t="n">
        <f aca="false">F20-$C$4</f>
        <v>91</v>
      </c>
      <c r="H20" s="11" t="str">
        <f aca="false">IF(G20&lt;0,"EXPIRED - DO NOT USE",IF(G20&lt;=$C$5,"USE SOON","OK"))</f>
        <v>OK</v>
      </c>
    </row>
    <row r="21" customFormat="false" ht="15" hidden="false" customHeight="false" outlineLevel="0" collapsed="false">
      <c r="A21" s="11" t="str">
        <f aca="false">'RM Master'!A18</f>
        <v>RM-402</v>
      </c>
      <c r="B21" s="12" t="str">
        <f aca="false">'RM Master'!B18</f>
        <v>Defoamer DF-22</v>
      </c>
      <c r="C21" s="22" t="n">
        <f aca="false">'RM Master'!M18</f>
        <v>46721</v>
      </c>
      <c r="D21" s="11" t="n">
        <f aca="false">C21-$C$4</f>
        <v>394</v>
      </c>
      <c r="E21" s="11" t="str">
        <f aca="false">IF(D21&lt;0,"OVERDUE - RENEW NOW",IF(D21&lt;=$C$5,"DUE SOON","OK"))</f>
        <v>OK</v>
      </c>
      <c r="F21" s="22" t="n">
        <f aca="false">'RM Master'!N18</f>
        <v>46568</v>
      </c>
      <c r="G21" s="11" t="n">
        <f aca="false">F21-$C$4</f>
        <v>241</v>
      </c>
      <c r="H21" s="11" t="str">
        <f aca="false">IF(G21&lt;0,"EXPIRED - DO NOT USE",IF(G21&lt;=$C$5,"USE SOON","OK"))</f>
        <v>OK</v>
      </c>
    </row>
    <row r="22" customFormat="false" ht="15" hidden="false" customHeight="false" outlineLevel="0" collapsed="false">
      <c r="A22" s="18" t="str">
        <f aca="false">'RM Master'!A19</f>
        <v>RM-403</v>
      </c>
      <c r="B22" s="19" t="str">
        <f aca="false">'RM Master'!B19</f>
        <v>UV Stabilizer Additive</v>
      </c>
      <c r="C22" s="20" t="n">
        <f aca="false">'RM Master'!M19</f>
        <v>46336</v>
      </c>
      <c r="D22" s="18" t="n">
        <f aca="false">C22-$C$4</f>
        <v>9</v>
      </c>
      <c r="E22" s="18" t="str">
        <f aca="false">IF(D22&lt;0,"OVERDUE - RENEW NOW",IF(D22&lt;=$C$5,"DUE SOON","OK"))</f>
        <v>DUE SOON</v>
      </c>
      <c r="F22" s="20" t="n">
        <f aca="false">'RM Master'!N19</f>
        <v>46433</v>
      </c>
      <c r="G22" s="18" t="n">
        <f aca="false">F22-$C$4</f>
        <v>106</v>
      </c>
      <c r="H22" s="18" t="str">
        <f aca="false">IF(G22&lt;0,"EXPIRED - DO NOT USE",IF(G22&lt;=$C$5,"USE SOON","OK"))</f>
        <v>OK</v>
      </c>
    </row>
    <row r="23" customFormat="false" ht="15" hidden="false" customHeight="false" outlineLevel="0" collapsed="false">
      <c r="A23" s="13" t="str">
        <f aca="false">'RM Master'!A20</f>
        <v>RM-404</v>
      </c>
      <c r="B23" s="14" t="str">
        <f aca="false">'RM Master'!B20</f>
        <v>Anti-Blocking Additive</v>
      </c>
      <c r="C23" s="21" t="n">
        <f aca="false">'RM Master'!M20</f>
        <v>46295</v>
      </c>
      <c r="D23" s="13" t="n">
        <f aca="false">C23-$C$4</f>
        <v>-32</v>
      </c>
      <c r="E23" s="13" t="str">
        <f aca="false">IF(D23&lt;0,"OVERDUE - RENEW NOW",IF(D23&lt;=$C$5,"DUE SOON","OK"))</f>
        <v>OVERDUE - RENEW NOW</v>
      </c>
      <c r="F23" s="21" t="n">
        <f aca="false">'RM Master'!N20</f>
        <v>46305</v>
      </c>
      <c r="G23" s="13" t="n">
        <f aca="false">F23-$C$4</f>
        <v>-22</v>
      </c>
      <c r="H23" s="13" t="str">
        <f aca="false">IF(G23&lt;0,"EXPIRED - DO NOT USE",IF(G23&lt;=$C$5,"USE SOON","OK"))</f>
        <v>EXPIRED - DO NOT USE</v>
      </c>
    </row>
    <row r="25" customFormat="false" ht="15" hidden="false" customHeight="false" outlineLevel="0" collapsed="false">
      <c r="A25" s="7" t="s">
        <v>96</v>
      </c>
      <c r="B25" s="7"/>
      <c r="C25" s="7"/>
      <c r="D25" s="7"/>
      <c r="E25" s="7"/>
      <c r="F25" s="7"/>
      <c r="G25" s="7"/>
      <c r="H25" s="7"/>
    </row>
  </sheetData>
  <mergeCells count="1"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31.5" hidden="false" customHeight="true" outlineLevel="0" collapsed="false">
      <c r="A4" s="3" t="s">
        <v>99</v>
      </c>
      <c r="B4" s="3" t="s">
        <v>100</v>
      </c>
      <c r="C4" s="3" t="s">
        <v>101</v>
      </c>
    </row>
    <row r="5" customFormat="false" ht="72" hidden="false" customHeight="true" outlineLevel="0" collapsed="false">
      <c r="A5" s="4" t="s">
        <v>102</v>
      </c>
      <c r="B5" s="23" t="s">
        <v>103</v>
      </c>
      <c r="C5" s="23" t="s">
        <v>104</v>
      </c>
    </row>
    <row r="6" customFormat="false" ht="72" hidden="false" customHeight="true" outlineLevel="0" collapsed="false">
      <c r="A6" s="4" t="s">
        <v>105</v>
      </c>
      <c r="B6" s="23" t="s">
        <v>106</v>
      </c>
      <c r="C6" s="23" t="s">
        <v>107</v>
      </c>
    </row>
    <row r="7" customFormat="false" ht="72" hidden="false" customHeight="true" outlineLevel="0" collapsed="false">
      <c r="A7" s="4" t="s">
        <v>108</v>
      </c>
      <c r="B7" s="23" t="s">
        <v>109</v>
      </c>
      <c r="C7" s="23" t="s">
        <v>110</v>
      </c>
    </row>
    <row r="8" customFormat="false" ht="72" hidden="false" customHeight="true" outlineLevel="0" collapsed="false">
      <c r="A8" s="4" t="s">
        <v>111</v>
      </c>
      <c r="B8" s="23" t="s">
        <v>112</v>
      </c>
      <c r="C8" s="23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2026-09-27T18:17:21Z</dcterms:created>
  <dc:creator>openpyxl</dc:creator>
  <dc:description/>
  <dc:language>en-US</dc:language>
  <cp:lastModifiedBy/>
  <dcterms:modified xsi:type="dcterms:W3CDTF">2026-09-27T18:17:21Z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