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Data" sheetId="1" state="visible" r:id="rId3"/>
    <sheet name="Correlation &amp; Regression" sheetId="2" state="visible" r:id="rId4"/>
    <sheet name="Root Cause Diagnostic" sheetId="3" state="visible" r:id="rId5"/>
    <sheet name="Copilot Prom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<sst xmlns="http://schemas.openxmlformats.org/spreadsheetml/2006/main" count="124" uniqueCount="60">
  <si>
    <t xml:space="preserve">PEREPA EDU — R&amp;D Lab: Ink Adhesion Trial Data (DOE)</t>
  </si>
  <si>
    <t xml:space="preserve">30 lab trials on BOPP film — varying Corona Treatment, Cure Temp, Resin %, Line Speed</t>
  </si>
  <si>
    <t xml:space="preserve">Trial No</t>
  </si>
  <si>
    <t xml:space="preserve">Substrate</t>
  </si>
  <si>
    <t xml:space="preserve">Corona Treatment
(dyne, mN/m)</t>
  </si>
  <si>
    <t xml:space="preserve">Cure Temp (C)</t>
  </si>
  <si>
    <t xml:space="preserve">Resin (%)</t>
  </si>
  <si>
    <t xml:space="preserve">Line Speed (m/min)</t>
  </si>
  <si>
    <t xml:space="preserve">Peel Strength
(N/15mm)</t>
  </si>
  <si>
    <t xml:space="preserve">Pass/Fail
(Spec &gt;=3.0)</t>
  </si>
  <si>
    <t xml:space="preserve">BOPP</t>
  </si>
  <si>
    <t xml:space="preserve">FAIL</t>
  </si>
  <si>
    <t xml:space="preserve">PASS</t>
  </si>
  <si>
    <t xml:space="preserve">Blue cells = trial inputs/readings. Peel Strength is measured on a tensile tester per ASTM/customer spec.</t>
  </si>
  <si>
    <t xml:space="preserve">Which Variable Actually Drives Adhesion Failure?</t>
  </si>
  <si>
    <t xml:space="preserve">Single-factor correlation and regression of each trial variable against Peel Strength</t>
  </si>
  <si>
    <t xml:space="preserve">Factor</t>
  </si>
  <si>
    <t xml:space="preserve">Correlation (r)
with Peel Strength</t>
  </si>
  <si>
    <t xml:space="preserve">R-Squared</t>
  </si>
  <si>
    <t xml:space="preserve">Slope</t>
  </si>
  <si>
    <t xml:space="preserve">Intercept</t>
  </si>
  <si>
    <t xml:space="preserve">Interpretation</t>
  </si>
  <si>
    <t xml:space="preserve">Corona Treatment (dyne)</t>
  </si>
  <si>
    <t xml:space="preserve">Prediction Using Dominant Factor (Corona Treatment)</t>
  </si>
  <si>
    <t xml:space="preserve">Corona (dyne)</t>
  </si>
  <si>
    <t xml:space="preserve">Actual Peel</t>
  </si>
  <si>
    <t xml:space="preserve">Predicted Peel
(from Corona only)</t>
  </si>
  <si>
    <t xml:space="preserve">Residual</t>
  </si>
  <si>
    <t xml:space="preserve">Corona Treatment shows the strongest correlation — Cure Temp is a minor factor, Resin % and Line Speed are noise. That is the DOE answer to 'why is it not adhering.'</t>
  </si>
  <si>
    <t xml:space="preserve">New Complaint — Root Cause Diagnostic</t>
  </si>
  <si>
    <t xml:space="preserve">Feed a customer complaint's readings in; the model flags the likely cause using the trial regression</t>
  </si>
  <si>
    <t xml:space="preserve">Customer Spec — Minimum Peel Strength (N/15mm)</t>
  </si>
  <si>
    <t xml:space="preserve">Recommended Minimum Corona Treatment (dyne)</t>
  </si>
  <si>
    <t xml:space="preserve">New Complaint Reading</t>
  </si>
  <si>
    <t xml:space="preserve">Parameter</t>
  </si>
  <si>
    <t xml:space="preserve">Value</t>
  </si>
  <si>
    <t xml:space="preserve">Recommended / Spec</t>
  </si>
  <si>
    <t xml:space="preserve">Flag</t>
  </si>
  <si>
    <t xml:space="preserve">Predicted Peel Strength (from trial regression, Corona-based)</t>
  </si>
  <si>
    <t xml:space="preserve">Predicted Result vs Spec</t>
  </si>
  <si>
    <t xml:space="preserve">This mirrors what a technical service engineer would do on-site: check corona level first (dominant factor from the DOE), not blame the ink formulation by default.</t>
  </si>
  <si>
    <t xml:space="preserve">How R&amp;D Used Copilot to Build This DOE / Root-Cause Model</t>
  </si>
  <si>
    <t xml:space="preserve">Training reference: prompt sequence and what Copilot generated</t>
  </si>
  <si>
    <t xml:space="preserve">Step</t>
  </si>
  <si>
    <t xml:space="preserve">Prompt Typed Into Copilot</t>
  </si>
  <si>
    <t xml:space="preserve">What Copilot Built / Which Cells</t>
  </si>
  <si>
    <t xml:space="preserve">1</t>
  </si>
  <si>
    <t xml:space="preserve">I have 30 adhesion trials varying corona treatment, cure temp, resin %, and line speed, with peel strength as the outcome. Tell me which variable most affects peel strength.</t>
  </si>
  <si>
    <t xml:space="preserve">'Correlation &amp; Regression'!A5:F8 — CORREL and RSQ for each factor against Peel Strength, with a plain-English interpretation column (Strong/Moderate/Weak).</t>
  </si>
  <si>
    <t xml:space="preserve">2</t>
  </si>
  <si>
    <t xml:space="preserve">Build a simple regression line using only the strongest factor, and show me predicted vs actual peel strength for every trial, with the residual.</t>
  </si>
  <si>
    <t xml:space="preserve">'Correlation &amp; Regression'!D5:E5 (SLOPE/INTERCEPT) and A9:E42 (predicted peel and residual per trial), plus a scatter chart of Peel Strength vs Corona Treatment.</t>
  </si>
  <si>
    <t xml:space="preserve">3</t>
  </si>
  <si>
    <t xml:space="preserve">A customer just complained about adhesion failure. Given their corona treatment, cure temp, and resin % readings, tell me the likely root cause and whether it would pass or fail our spec.</t>
  </si>
  <si>
    <t xml:space="preserve">'Root Cause Diagnostic'!A7:D14 — an IF-based flag per parameter against recommended values, plus a predicted peel strength using the trial regression, and a pass/fail call.</t>
  </si>
  <si>
    <t xml:space="preserve">4</t>
  </si>
  <si>
    <t xml:space="preserve">Summarize this whole analysis in plain language for a technical service report I can send to the customer's plant manager.</t>
  </si>
  <si>
    <t xml:space="preserve">Not built as a formula — this is where you'd ask Copilot (or Claude) to turn the numeric findings into a written explanation, the same way the chat explanation above was drafted.</t>
  </si>
  <si>
    <t xml:space="preserve">Teaching point:</t>
  </si>
  <si>
    <t xml:space="preserve">This is the R&amp;D version of the same pattern from Operations: describe the business/technical question precisely, let Copilot build the statistics, then verify the tool picked the right variable — a chemist who doesn't know a little regression can't tell a good answer from a plausible-sounding wrong one.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</si>
</sst>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Peel Strength vs Corona Treatment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FFFFFF"/>
            </a:solidFill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'Trial Data'!$C$5:$C$34</c:f>
              <c:numCache>
                <c:formatCode>General</c:formatCode>
                <c:ptCount val="30"/>
                <c:pt idx="0">
                  <c:v>32.3</c:v>
                </c:pt>
                <c:pt idx="1">
                  <c:v>41.3</c:v>
                </c:pt>
                <c:pt idx="2">
                  <c:v>30</c:v>
                </c:pt>
                <c:pt idx="3">
                  <c:v>33.3</c:v>
                </c:pt>
                <c:pt idx="4">
                  <c:v>42.3</c:v>
                </c:pt>
                <c:pt idx="5">
                  <c:v>43.3</c:v>
                </c:pt>
                <c:pt idx="6">
                  <c:v>31.7</c:v>
                </c:pt>
                <c:pt idx="7">
                  <c:v>32.6</c:v>
                </c:pt>
                <c:pt idx="8">
                  <c:v>40.9</c:v>
                </c:pt>
                <c:pt idx="9">
                  <c:v>38.1</c:v>
                </c:pt>
                <c:pt idx="10">
                  <c:v>41.6</c:v>
                </c:pt>
                <c:pt idx="11">
                  <c:v>36.3</c:v>
                </c:pt>
                <c:pt idx="12">
                  <c:v>30.4</c:v>
                </c:pt>
                <c:pt idx="13">
                  <c:v>37.7</c:v>
                </c:pt>
                <c:pt idx="14">
                  <c:v>37.8</c:v>
                </c:pt>
                <c:pt idx="15">
                  <c:v>34.9</c:v>
                </c:pt>
                <c:pt idx="16">
                  <c:v>30.9</c:v>
                </c:pt>
                <c:pt idx="17">
                  <c:v>42.6</c:v>
                </c:pt>
                <c:pt idx="18">
                  <c:v>43.5</c:v>
                </c:pt>
                <c:pt idx="19">
                  <c:v>42.3</c:v>
                </c:pt>
                <c:pt idx="20">
                  <c:v>40.8</c:v>
                </c:pt>
                <c:pt idx="21">
                  <c:v>35.9</c:v>
                </c:pt>
                <c:pt idx="22">
                  <c:v>42.6</c:v>
                </c:pt>
                <c:pt idx="23">
                  <c:v>37.4</c:v>
                </c:pt>
                <c:pt idx="24">
                  <c:v>41.7</c:v>
                </c:pt>
                <c:pt idx="25">
                  <c:v>41.9</c:v>
                </c:pt>
                <c:pt idx="26">
                  <c:v>40.8</c:v>
                </c:pt>
                <c:pt idx="27">
                  <c:v>39</c:v>
                </c:pt>
                <c:pt idx="28">
                  <c:v>35.7</c:v>
                </c:pt>
                <c:pt idx="29">
                  <c:v>30.4</c:v>
                </c:pt>
              </c:numCache>
            </c:numRef>
          </c:xVal>
          <c:yVal>
            <c:numRef>
              <c:f>'Trial Data'!$G$5:$G$34</c:f>
              <c:numCache>
                <c:formatCode>General</c:formatCode>
                <c:ptCount val="30"/>
                <c:pt idx="0">
                  <c:v>1.63</c:v>
                </c:pt>
                <c:pt idx="1">
                  <c:v>3.36</c:v>
                </c:pt>
                <c:pt idx="2">
                  <c:v>1.12</c:v>
                </c:pt>
                <c:pt idx="3">
                  <c:v>1.29</c:v>
                </c:pt>
                <c:pt idx="4">
                  <c:v>3.04</c:v>
                </c:pt>
                <c:pt idx="5">
                  <c:v>3.24</c:v>
                </c:pt>
                <c:pt idx="6">
                  <c:v>1.37</c:v>
                </c:pt>
                <c:pt idx="7">
                  <c:v>1.6</c:v>
                </c:pt>
                <c:pt idx="8">
                  <c:v>2.74</c:v>
                </c:pt>
                <c:pt idx="9">
                  <c:v>2.09</c:v>
                </c:pt>
                <c:pt idx="10">
                  <c:v>2.65</c:v>
                </c:pt>
                <c:pt idx="11">
                  <c:v>2.18</c:v>
                </c:pt>
                <c:pt idx="12">
                  <c:v>0.75</c:v>
                </c:pt>
                <c:pt idx="13">
                  <c:v>2.46</c:v>
                </c:pt>
                <c:pt idx="14">
                  <c:v>2.1</c:v>
                </c:pt>
                <c:pt idx="15">
                  <c:v>2.42</c:v>
                </c:pt>
                <c:pt idx="16">
                  <c:v>1.19</c:v>
                </c:pt>
                <c:pt idx="17">
                  <c:v>2.94</c:v>
                </c:pt>
                <c:pt idx="18">
                  <c:v>3.15</c:v>
                </c:pt>
                <c:pt idx="19">
                  <c:v>3.14</c:v>
                </c:pt>
                <c:pt idx="20">
                  <c:v>2.8</c:v>
                </c:pt>
                <c:pt idx="21">
                  <c:v>2.2</c:v>
                </c:pt>
                <c:pt idx="22">
                  <c:v>3.26</c:v>
                </c:pt>
                <c:pt idx="23">
                  <c:v>3.05</c:v>
                </c:pt>
                <c:pt idx="24">
                  <c:v>2.76</c:v>
                </c:pt>
                <c:pt idx="25">
                  <c:v>3.1</c:v>
                </c:pt>
                <c:pt idx="26">
                  <c:v>3</c:v>
                </c:pt>
                <c:pt idx="27">
                  <c:v>2.71</c:v>
                </c:pt>
                <c:pt idx="28">
                  <c:v>2.24</c:v>
                </c:pt>
                <c:pt idx="29">
                  <c:v>1.26</c:v>
                </c:pt>
              </c:numCache>
            </c:numRef>
          </c:yVal>
          <c:smooth val="1"/>
        </c:ser>
        <c:axId val="94858291"/>
        <c:axId val="86902249"/>
      </c:scatterChart>
      <c:valAx>
        <c:axId val="948582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Corona Treatment (dyne, mN/m)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902249"/>
        <c:crosses val="autoZero"/>
        <c:crossBetween val="midCat"/>
      </c:valAx>
      <c:valAx>
        <c:axId val="86902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Peel Strength (N/15mm)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5829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16</xdr:col>
      <xdr:colOff>256320</xdr:colOff>
      <xdr:row>17</xdr:row>
      <xdr:rowOff>153360</xdr:rowOff>
    </xdr:to>
    <xdr:graphicFrame>
      <xdr:nvGraphicFramePr>
        <xdr:cNvPr id="1" name="Chart 1"/>
        <xdr:cNvGraphicFramePr/>
      </xdr:nvGraphicFramePr>
      <xdr:xfrm>
        <a:off x="7378200" y="601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s">
        <v>10</v>
      </c>
      <c r="C5" s="5" t="n">
        <v>32.3</v>
      </c>
      <c r="D5" s="5" t="n">
        <v>168</v>
      </c>
      <c r="E5" s="5" t="n">
        <v>13.1</v>
      </c>
      <c r="F5" s="5" t="n">
        <v>114</v>
      </c>
      <c r="G5" s="5" t="n">
        <v>1.63</v>
      </c>
      <c r="H5" s="6" t="s">
        <v>11</v>
      </c>
    </row>
    <row r="6" customFormat="false" ht="15" hidden="false" customHeight="false" outlineLevel="0" collapsed="false">
      <c r="A6" s="4" t="n">
        <v>2</v>
      </c>
      <c r="B6" s="5" t="s">
        <v>10</v>
      </c>
      <c r="C6" s="5" t="n">
        <v>41.3</v>
      </c>
      <c r="D6" s="5" t="n">
        <v>160</v>
      </c>
      <c r="E6" s="5" t="n">
        <v>12</v>
      </c>
      <c r="F6" s="5" t="n">
        <v>97</v>
      </c>
      <c r="G6" s="5" t="n">
        <v>3.36</v>
      </c>
      <c r="H6" s="7" t="s">
        <v>12</v>
      </c>
    </row>
    <row r="7" customFormat="false" ht="15" hidden="false" customHeight="false" outlineLevel="0" collapsed="false">
      <c r="A7" s="4" t="n">
        <v>3</v>
      </c>
      <c r="B7" s="5" t="s">
        <v>10</v>
      </c>
      <c r="C7" s="5" t="n">
        <v>30</v>
      </c>
      <c r="D7" s="5" t="n">
        <v>155</v>
      </c>
      <c r="E7" s="5" t="n">
        <v>12.7</v>
      </c>
      <c r="F7" s="5" t="n">
        <v>85</v>
      </c>
      <c r="G7" s="5" t="n">
        <v>1.12</v>
      </c>
      <c r="H7" s="6" t="s">
        <v>11</v>
      </c>
    </row>
    <row r="8" customFormat="false" ht="15" hidden="false" customHeight="false" outlineLevel="0" collapsed="false">
      <c r="A8" s="4" t="n">
        <v>4</v>
      </c>
      <c r="B8" s="5" t="s">
        <v>10</v>
      </c>
      <c r="C8" s="5" t="n">
        <v>33.3</v>
      </c>
      <c r="D8" s="5" t="n">
        <v>142</v>
      </c>
      <c r="E8" s="5" t="n">
        <v>16</v>
      </c>
      <c r="F8" s="5" t="n">
        <v>132</v>
      </c>
      <c r="G8" s="5" t="n">
        <v>1.29</v>
      </c>
      <c r="H8" s="6" t="s">
        <v>11</v>
      </c>
    </row>
    <row r="9" customFormat="false" ht="15" hidden="false" customHeight="false" outlineLevel="0" collapsed="false">
      <c r="A9" s="4" t="n">
        <v>5</v>
      </c>
      <c r="B9" s="5" t="s">
        <v>10</v>
      </c>
      <c r="C9" s="5" t="n">
        <v>42.3</v>
      </c>
      <c r="D9" s="5" t="n">
        <v>165</v>
      </c>
      <c r="E9" s="5" t="n">
        <v>8.3</v>
      </c>
      <c r="F9" s="5" t="n">
        <v>103</v>
      </c>
      <c r="G9" s="5" t="n">
        <v>3.04</v>
      </c>
      <c r="H9" s="7" t="s">
        <v>12</v>
      </c>
    </row>
    <row r="10" customFormat="false" ht="15" hidden="false" customHeight="false" outlineLevel="0" collapsed="false">
      <c r="A10" s="4" t="n">
        <v>6</v>
      </c>
      <c r="B10" s="5" t="s">
        <v>10</v>
      </c>
      <c r="C10" s="5" t="n">
        <v>43.3</v>
      </c>
      <c r="D10" s="5" t="n">
        <v>155</v>
      </c>
      <c r="E10" s="5" t="n">
        <v>9.2</v>
      </c>
      <c r="F10" s="5" t="n">
        <v>137</v>
      </c>
      <c r="G10" s="5" t="n">
        <v>3.24</v>
      </c>
      <c r="H10" s="7" t="s">
        <v>12</v>
      </c>
    </row>
    <row r="11" customFormat="false" ht="15" hidden="false" customHeight="false" outlineLevel="0" collapsed="false">
      <c r="A11" s="4" t="n">
        <v>7</v>
      </c>
      <c r="B11" s="5" t="s">
        <v>10</v>
      </c>
      <c r="C11" s="5" t="n">
        <v>31.7</v>
      </c>
      <c r="D11" s="5" t="n">
        <v>177</v>
      </c>
      <c r="E11" s="5" t="n">
        <v>11.6</v>
      </c>
      <c r="F11" s="5" t="n">
        <v>119</v>
      </c>
      <c r="G11" s="5" t="n">
        <v>1.37</v>
      </c>
      <c r="H11" s="6" t="s">
        <v>11</v>
      </c>
    </row>
    <row r="12" customFormat="false" ht="15" hidden="false" customHeight="false" outlineLevel="0" collapsed="false">
      <c r="A12" s="4" t="n">
        <v>8</v>
      </c>
      <c r="B12" s="5" t="s">
        <v>10</v>
      </c>
      <c r="C12" s="5" t="n">
        <v>32.6</v>
      </c>
      <c r="D12" s="5" t="n">
        <v>141</v>
      </c>
      <c r="E12" s="5" t="n">
        <v>14.9</v>
      </c>
      <c r="F12" s="5" t="n">
        <v>96</v>
      </c>
      <c r="G12" s="5" t="n">
        <v>1.6</v>
      </c>
      <c r="H12" s="6" t="s">
        <v>11</v>
      </c>
    </row>
    <row r="13" customFormat="false" ht="15" hidden="false" customHeight="false" outlineLevel="0" collapsed="false">
      <c r="A13" s="4" t="n">
        <v>9</v>
      </c>
      <c r="B13" s="5" t="s">
        <v>10</v>
      </c>
      <c r="C13" s="5" t="n">
        <v>40.9</v>
      </c>
      <c r="D13" s="5" t="n">
        <v>148</v>
      </c>
      <c r="E13" s="5" t="n">
        <v>15.8</v>
      </c>
      <c r="F13" s="5" t="n">
        <v>143</v>
      </c>
      <c r="G13" s="5" t="n">
        <v>2.74</v>
      </c>
      <c r="H13" s="6" t="s">
        <v>11</v>
      </c>
    </row>
    <row r="14" customFormat="false" ht="15" hidden="false" customHeight="false" outlineLevel="0" collapsed="false">
      <c r="A14" s="4" t="n">
        <v>10</v>
      </c>
      <c r="B14" s="5" t="s">
        <v>10</v>
      </c>
      <c r="C14" s="5" t="n">
        <v>38.1</v>
      </c>
      <c r="D14" s="5" t="n">
        <v>169</v>
      </c>
      <c r="E14" s="5" t="n">
        <v>9</v>
      </c>
      <c r="F14" s="5" t="n">
        <v>113</v>
      </c>
      <c r="G14" s="5" t="n">
        <v>2.09</v>
      </c>
      <c r="H14" s="6" t="s">
        <v>11</v>
      </c>
    </row>
    <row r="15" customFormat="false" ht="15" hidden="false" customHeight="false" outlineLevel="0" collapsed="false">
      <c r="A15" s="4" t="n">
        <v>11</v>
      </c>
      <c r="B15" s="5" t="s">
        <v>10</v>
      </c>
      <c r="C15" s="5" t="n">
        <v>41.6</v>
      </c>
      <c r="D15" s="5" t="n">
        <v>148</v>
      </c>
      <c r="E15" s="5" t="n">
        <v>15.4</v>
      </c>
      <c r="F15" s="5" t="n">
        <v>142</v>
      </c>
      <c r="G15" s="5" t="n">
        <v>2.65</v>
      </c>
      <c r="H15" s="6" t="s">
        <v>11</v>
      </c>
    </row>
    <row r="16" customFormat="false" ht="15" hidden="false" customHeight="false" outlineLevel="0" collapsed="false">
      <c r="A16" s="4" t="n">
        <v>12</v>
      </c>
      <c r="B16" s="5" t="s">
        <v>10</v>
      </c>
      <c r="C16" s="5" t="n">
        <v>36.3</v>
      </c>
      <c r="D16" s="5" t="n">
        <v>155</v>
      </c>
      <c r="E16" s="5" t="n">
        <v>16</v>
      </c>
      <c r="F16" s="5" t="n">
        <v>107</v>
      </c>
      <c r="G16" s="5" t="n">
        <v>2.18</v>
      </c>
      <c r="H16" s="6" t="s">
        <v>11</v>
      </c>
    </row>
    <row r="17" customFormat="false" ht="15" hidden="false" customHeight="false" outlineLevel="0" collapsed="false">
      <c r="A17" s="4" t="n">
        <v>13</v>
      </c>
      <c r="B17" s="5" t="s">
        <v>10</v>
      </c>
      <c r="C17" s="5" t="n">
        <v>30.4</v>
      </c>
      <c r="D17" s="5" t="n">
        <v>144</v>
      </c>
      <c r="E17" s="5" t="n">
        <v>13.7</v>
      </c>
      <c r="F17" s="5" t="n">
        <v>149</v>
      </c>
      <c r="G17" s="5" t="n">
        <v>0.75</v>
      </c>
      <c r="H17" s="6" t="s">
        <v>11</v>
      </c>
    </row>
    <row r="18" customFormat="false" ht="15" hidden="false" customHeight="false" outlineLevel="0" collapsed="false">
      <c r="A18" s="4" t="n">
        <v>14</v>
      </c>
      <c r="B18" s="5" t="s">
        <v>10</v>
      </c>
      <c r="C18" s="5" t="n">
        <v>37.7</v>
      </c>
      <c r="D18" s="5" t="n">
        <v>170</v>
      </c>
      <c r="E18" s="5" t="n">
        <v>9.8</v>
      </c>
      <c r="F18" s="5" t="n">
        <v>123</v>
      </c>
      <c r="G18" s="5" t="n">
        <v>2.46</v>
      </c>
      <c r="H18" s="6" t="s">
        <v>11</v>
      </c>
    </row>
    <row r="19" customFormat="false" ht="15" hidden="false" customHeight="false" outlineLevel="0" collapsed="false">
      <c r="A19" s="4" t="n">
        <v>15</v>
      </c>
      <c r="B19" s="5" t="s">
        <v>10</v>
      </c>
      <c r="C19" s="5" t="n">
        <v>37.8</v>
      </c>
      <c r="D19" s="5" t="n">
        <v>165</v>
      </c>
      <c r="E19" s="5" t="n">
        <v>9.4</v>
      </c>
      <c r="F19" s="5" t="n">
        <v>92</v>
      </c>
      <c r="G19" s="5" t="n">
        <v>2.1</v>
      </c>
      <c r="H19" s="6" t="s">
        <v>11</v>
      </c>
    </row>
    <row r="20" customFormat="false" ht="15" hidden="false" customHeight="false" outlineLevel="0" collapsed="false">
      <c r="A20" s="4" t="n">
        <v>16</v>
      </c>
      <c r="B20" s="5" t="s">
        <v>10</v>
      </c>
      <c r="C20" s="5" t="n">
        <v>34.9</v>
      </c>
      <c r="D20" s="5" t="n">
        <v>164</v>
      </c>
      <c r="E20" s="5" t="n">
        <v>10.5</v>
      </c>
      <c r="F20" s="5" t="n">
        <v>87</v>
      </c>
      <c r="G20" s="5" t="n">
        <v>2.42</v>
      </c>
      <c r="H20" s="6" t="s">
        <v>11</v>
      </c>
    </row>
    <row r="21" customFormat="false" ht="15" hidden="false" customHeight="false" outlineLevel="0" collapsed="false">
      <c r="A21" s="4" t="n">
        <v>17</v>
      </c>
      <c r="B21" s="5" t="s">
        <v>10</v>
      </c>
      <c r="C21" s="5" t="n">
        <v>30.9</v>
      </c>
      <c r="D21" s="5" t="n">
        <v>173</v>
      </c>
      <c r="E21" s="5" t="n">
        <v>14.2</v>
      </c>
      <c r="F21" s="5" t="n">
        <v>106</v>
      </c>
      <c r="G21" s="5" t="n">
        <v>1.19</v>
      </c>
      <c r="H21" s="6" t="s">
        <v>11</v>
      </c>
    </row>
    <row r="22" customFormat="false" ht="15" hidden="false" customHeight="false" outlineLevel="0" collapsed="false">
      <c r="A22" s="4" t="n">
        <v>18</v>
      </c>
      <c r="B22" s="5" t="s">
        <v>10</v>
      </c>
      <c r="C22" s="5" t="n">
        <v>42.6</v>
      </c>
      <c r="D22" s="5" t="n">
        <v>178</v>
      </c>
      <c r="E22" s="5" t="n">
        <v>11.3</v>
      </c>
      <c r="F22" s="5" t="n">
        <v>149</v>
      </c>
      <c r="G22" s="5" t="n">
        <v>2.94</v>
      </c>
      <c r="H22" s="6" t="s">
        <v>11</v>
      </c>
    </row>
    <row r="23" customFormat="false" ht="15" hidden="false" customHeight="false" outlineLevel="0" collapsed="false">
      <c r="A23" s="4" t="n">
        <v>19</v>
      </c>
      <c r="B23" s="5" t="s">
        <v>10</v>
      </c>
      <c r="C23" s="5" t="n">
        <v>43.5</v>
      </c>
      <c r="D23" s="5" t="n">
        <v>164</v>
      </c>
      <c r="E23" s="5" t="n">
        <v>15.1</v>
      </c>
      <c r="F23" s="5" t="n">
        <v>114</v>
      </c>
      <c r="G23" s="5" t="n">
        <v>3.15</v>
      </c>
      <c r="H23" s="7" t="s">
        <v>12</v>
      </c>
    </row>
    <row r="24" customFormat="false" ht="15" hidden="false" customHeight="false" outlineLevel="0" collapsed="false">
      <c r="A24" s="4" t="n">
        <v>20</v>
      </c>
      <c r="B24" s="5" t="s">
        <v>10</v>
      </c>
      <c r="C24" s="5" t="n">
        <v>42.3</v>
      </c>
      <c r="D24" s="5" t="n">
        <v>146</v>
      </c>
      <c r="E24" s="5" t="n">
        <v>8.6</v>
      </c>
      <c r="F24" s="5" t="n">
        <v>136</v>
      </c>
      <c r="G24" s="5" t="n">
        <v>3.14</v>
      </c>
      <c r="H24" s="7" t="s">
        <v>12</v>
      </c>
    </row>
    <row r="25" customFormat="false" ht="15" hidden="false" customHeight="false" outlineLevel="0" collapsed="false">
      <c r="A25" s="4" t="n">
        <v>21</v>
      </c>
      <c r="B25" s="5" t="s">
        <v>10</v>
      </c>
      <c r="C25" s="5" t="n">
        <v>40.8</v>
      </c>
      <c r="D25" s="5" t="n">
        <v>159</v>
      </c>
      <c r="E25" s="5" t="n">
        <v>14.7</v>
      </c>
      <c r="F25" s="5" t="n">
        <v>84</v>
      </c>
      <c r="G25" s="5" t="n">
        <v>2.8</v>
      </c>
      <c r="H25" s="6" t="s">
        <v>11</v>
      </c>
    </row>
    <row r="26" customFormat="false" ht="15" hidden="false" customHeight="false" outlineLevel="0" collapsed="false">
      <c r="A26" s="4" t="n">
        <v>22</v>
      </c>
      <c r="B26" s="5" t="s">
        <v>10</v>
      </c>
      <c r="C26" s="5" t="n">
        <v>35.9</v>
      </c>
      <c r="D26" s="5" t="n">
        <v>147</v>
      </c>
      <c r="E26" s="5" t="n">
        <v>8.6</v>
      </c>
      <c r="F26" s="5" t="n">
        <v>104</v>
      </c>
      <c r="G26" s="5" t="n">
        <v>2.2</v>
      </c>
      <c r="H26" s="6" t="s">
        <v>11</v>
      </c>
    </row>
    <row r="27" customFormat="false" ht="15" hidden="false" customHeight="false" outlineLevel="0" collapsed="false">
      <c r="A27" s="4" t="n">
        <v>23</v>
      </c>
      <c r="B27" s="5" t="s">
        <v>10</v>
      </c>
      <c r="C27" s="5" t="n">
        <v>42.6</v>
      </c>
      <c r="D27" s="5" t="n">
        <v>179</v>
      </c>
      <c r="E27" s="5" t="n">
        <v>14</v>
      </c>
      <c r="F27" s="5" t="n">
        <v>114</v>
      </c>
      <c r="G27" s="5" t="n">
        <v>3.26</v>
      </c>
      <c r="H27" s="7" t="s">
        <v>12</v>
      </c>
    </row>
    <row r="28" customFormat="false" ht="15" hidden="false" customHeight="false" outlineLevel="0" collapsed="false">
      <c r="A28" s="4" t="n">
        <v>24</v>
      </c>
      <c r="B28" s="5" t="s">
        <v>10</v>
      </c>
      <c r="C28" s="5" t="n">
        <v>37.4</v>
      </c>
      <c r="D28" s="5" t="n">
        <v>169</v>
      </c>
      <c r="E28" s="5" t="n">
        <v>8.2</v>
      </c>
      <c r="F28" s="5" t="n">
        <v>95</v>
      </c>
      <c r="G28" s="5" t="n">
        <v>3.05</v>
      </c>
      <c r="H28" s="7" t="s">
        <v>12</v>
      </c>
    </row>
    <row r="29" customFormat="false" ht="15" hidden="false" customHeight="false" outlineLevel="0" collapsed="false">
      <c r="A29" s="4" t="n">
        <v>25</v>
      </c>
      <c r="B29" s="5" t="s">
        <v>10</v>
      </c>
      <c r="C29" s="5" t="n">
        <v>41.7</v>
      </c>
      <c r="D29" s="5" t="n">
        <v>172</v>
      </c>
      <c r="E29" s="5" t="n">
        <v>15.1</v>
      </c>
      <c r="F29" s="5" t="n">
        <v>122</v>
      </c>
      <c r="G29" s="5" t="n">
        <v>2.76</v>
      </c>
      <c r="H29" s="6" t="s">
        <v>11</v>
      </c>
    </row>
    <row r="30" customFormat="false" ht="15" hidden="false" customHeight="false" outlineLevel="0" collapsed="false">
      <c r="A30" s="4" t="n">
        <v>26</v>
      </c>
      <c r="B30" s="5" t="s">
        <v>10</v>
      </c>
      <c r="C30" s="5" t="n">
        <v>41.9</v>
      </c>
      <c r="D30" s="5" t="n">
        <v>152</v>
      </c>
      <c r="E30" s="5" t="n">
        <v>12.3</v>
      </c>
      <c r="F30" s="5" t="n">
        <v>99</v>
      </c>
      <c r="G30" s="5" t="n">
        <v>3.1</v>
      </c>
      <c r="H30" s="7" t="s">
        <v>12</v>
      </c>
    </row>
    <row r="31" customFormat="false" ht="15" hidden="false" customHeight="false" outlineLevel="0" collapsed="false">
      <c r="A31" s="4" t="n">
        <v>27</v>
      </c>
      <c r="B31" s="5" t="s">
        <v>10</v>
      </c>
      <c r="C31" s="5" t="n">
        <v>40.8</v>
      </c>
      <c r="D31" s="5" t="n">
        <v>140</v>
      </c>
      <c r="E31" s="5" t="n">
        <v>13.5</v>
      </c>
      <c r="F31" s="5" t="n">
        <v>147</v>
      </c>
      <c r="G31" s="5" t="n">
        <v>3</v>
      </c>
      <c r="H31" s="7" t="s">
        <v>12</v>
      </c>
    </row>
    <row r="32" customFormat="false" ht="15" hidden="false" customHeight="false" outlineLevel="0" collapsed="false">
      <c r="A32" s="4" t="n">
        <v>28</v>
      </c>
      <c r="B32" s="5" t="s">
        <v>10</v>
      </c>
      <c r="C32" s="5" t="n">
        <v>39</v>
      </c>
      <c r="D32" s="5" t="n">
        <v>174</v>
      </c>
      <c r="E32" s="5" t="n">
        <v>12.7</v>
      </c>
      <c r="F32" s="5" t="n">
        <v>98</v>
      </c>
      <c r="G32" s="5" t="n">
        <v>2.71</v>
      </c>
      <c r="H32" s="6" t="s">
        <v>11</v>
      </c>
    </row>
    <row r="33" customFormat="false" ht="15" hidden="false" customHeight="false" outlineLevel="0" collapsed="false">
      <c r="A33" s="4" t="n">
        <v>29</v>
      </c>
      <c r="B33" s="5" t="s">
        <v>10</v>
      </c>
      <c r="C33" s="5" t="n">
        <v>35.7</v>
      </c>
      <c r="D33" s="5" t="n">
        <v>178</v>
      </c>
      <c r="E33" s="5" t="n">
        <v>15.2</v>
      </c>
      <c r="F33" s="5" t="n">
        <v>89</v>
      </c>
      <c r="G33" s="5" t="n">
        <v>2.24</v>
      </c>
      <c r="H33" s="6" t="s">
        <v>11</v>
      </c>
    </row>
    <row r="34" customFormat="false" ht="15" hidden="false" customHeight="false" outlineLevel="0" collapsed="false">
      <c r="A34" s="4" t="n">
        <v>30</v>
      </c>
      <c r="B34" s="5" t="s">
        <v>10</v>
      </c>
      <c r="C34" s="5" t="n">
        <v>30.4</v>
      </c>
      <c r="D34" s="5" t="n">
        <v>158</v>
      </c>
      <c r="E34" s="5" t="n">
        <v>9.1</v>
      </c>
      <c r="F34" s="5" t="n">
        <v>141</v>
      </c>
      <c r="G34" s="5" t="n">
        <v>1.26</v>
      </c>
      <c r="H34" s="6" t="s">
        <v>11</v>
      </c>
    </row>
    <row r="36" customFormat="false" ht="15" hidden="false" customHeight="false" outlineLevel="0" collapsed="false">
      <c r="A3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31.5" hidden="false" customHeight="tru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customFormat="false" ht="15" hidden="false" customHeight="false" outlineLevel="0" collapsed="false">
      <c r="A5" s="8" t="s">
        <v>22</v>
      </c>
      <c r="B5" s="9" t="n">
        <f aca="false">CORREL('Trial Data'!$C$5:$C$34,'Trial Data'!$G$5:$G$34)</f>
        <v>0.941739549452608</v>
      </c>
      <c r="C5" s="9" t="n">
        <f aca="false">RSQ('Trial Data'!$G$5:$G$34,'Trial Data'!$C$5:$C$34)</f>
        <v>0.8868733790032</v>
      </c>
      <c r="D5" s="10" t="n">
        <f aca="false">SLOPE('Trial Data'!$G$5:$G$34,'Trial Data'!$C$5:$C$34)</f>
        <v>0.159742040779318</v>
      </c>
      <c r="E5" s="9" t="n">
        <f aca="false">INTERCEPT('Trial Data'!$G$5:$G$34,'Trial Data'!$C$5:$C$34)</f>
        <v>-3.65561686935431</v>
      </c>
      <c r="F5" s="11" t="str">
        <f aca="false">IF(ABS(B5)&gt;=0.6,"Strong driver",IF(ABS(B5)&gt;=0.3,"Moderate","Weak / noise"))</f>
        <v>Strong driver</v>
      </c>
    </row>
    <row r="6" customFormat="false" ht="15" hidden="false" customHeight="false" outlineLevel="0" collapsed="false">
      <c r="A6" s="8" t="s">
        <v>5</v>
      </c>
      <c r="B6" s="9" t="n">
        <f aca="false">CORREL('Trial Data'!$D$5:$D$34,'Trial Data'!$G$5:$G$34)</f>
        <v>0.131937140999645</v>
      </c>
      <c r="C6" s="9" t="n">
        <f aca="false">RSQ('Trial Data'!$G$5:$G$34,'Trial Data'!$D$5:$D$34)</f>
        <v>0.0174074091751603</v>
      </c>
      <c r="D6" s="10" t="n">
        <f aca="false">SLOPE('Trial Data'!$G$5:$G$34,'Trial Data'!$D$5:$D$34)</f>
        <v>0.00823380508572086</v>
      </c>
      <c r="E6" s="9" t="n">
        <f aca="false">INTERCEPT('Trial Data'!$G$5:$G$34,'Trial Data'!$D$5:$D$34)</f>
        <v>1.03980761707514</v>
      </c>
      <c r="F6" s="11" t="str">
        <f aca="false">IF(ABS(B6)&gt;=0.6,"Strong driver",IF(ABS(B6)&gt;=0.3,"Moderate","Weak / noise"))</f>
        <v>Weak / noise</v>
      </c>
    </row>
    <row r="7" customFormat="false" ht="15" hidden="false" customHeight="false" outlineLevel="0" collapsed="false">
      <c r="A7" s="8" t="s">
        <v>6</v>
      </c>
      <c r="B7" s="9" t="n">
        <f aca="false">CORREL('Trial Data'!$E$5:$E$34,'Trial Data'!$G$5:$G$34)</f>
        <v>-0.158837254785877</v>
      </c>
      <c r="C7" s="9" t="n">
        <f aca="false">RSQ('Trial Data'!$G$5:$G$34,'Trial Data'!$E$5:$E$34)</f>
        <v>0.0252292735079137</v>
      </c>
      <c r="D7" s="10" t="n">
        <f aca="false">SLOPE('Trial Data'!$G$5:$G$34,'Trial Data'!$E$5:$E$34)</f>
        <v>-0.0454077197952548</v>
      </c>
      <c r="E7" s="9" t="n">
        <f aca="false">INTERCEPT('Trial Data'!$G$5:$G$34,'Trial Data'!$E$5:$E$34)</f>
        <v>2.92136187747481</v>
      </c>
      <c r="F7" s="11" t="str">
        <f aca="false">IF(ABS(B7)&gt;=0.6,"Strong driver",IF(ABS(B7)&gt;=0.3,"Moderate","Weak / noise"))</f>
        <v>Weak / noise</v>
      </c>
    </row>
    <row r="8" customFormat="false" ht="15" hidden="false" customHeight="false" outlineLevel="0" collapsed="false">
      <c r="A8" s="8" t="s">
        <v>7</v>
      </c>
      <c r="B8" s="9" t="n">
        <f aca="false">CORREL('Trial Data'!$F$5:$F$34,'Trial Data'!$G$5:$G$34)</f>
        <v>-0.0139503705009719</v>
      </c>
      <c r="C8" s="9" t="n">
        <f aca="false">RSQ('Trial Data'!$G$5:$G$34,'Trial Data'!$F$5:$F$34)</f>
        <v>0.000194612837114386</v>
      </c>
      <c r="D8" s="10" t="n">
        <f aca="false">SLOPE('Trial Data'!$G$5:$G$34,'Trial Data'!$F$5:$F$34)</f>
        <v>-0.00050807119475627</v>
      </c>
      <c r="E8" s="9" t="n">
        <f aca="false">INTERCEPT('Trial Data'!$G$5:$G$34,'Trial Data'!$F$5:$F$34)</f>
        <v>2.41954135654591</v>
      </c>
      <c r="F8" s="11" t="str">
        <f aca="false">IF(ABS(B8)&gt;=0.6,"Strong driver",IF(ABS(B8)&gt;=0.3,"Moderate","Weak / noise"))</f>
        <v>Weak / noise</v>
      </c>
    </row>
    <row r="11" customFormat="false" ht="15" hidden="false" customHeight="false" outlineLevel="0" collapsed="false">
      <c r="A11" s="12" t="s">
        <v>23</v>
      </c>
    </row>
    <row r="12" customFormat="false" ht="31.5" hidden="false" customHeight="true" outlineLevel="0" collapsed="false">
      <c r="A12" s="3" t="s">
        <v>2</v>
      </c>
      <c r="B12" s="3" t="s">
        <v>24</v>
      </c>
      <c r="C12" s="3" t="s">
        <v>25</v>
      </c>
      <c r="D12" s="3" t="s">
        <v>26</v>
      </c>
      <c r="E12" s="3" t="s">
        <v>27</v>
      </c>
    </row>
    <row r="13" customFormat="false" ht="15" hidden="false" customHeight="false" outlineLevel="0" collapsed="false">
      <c r="A13" s="11" t="n">
        <f aca="false">'Trial Data'!A5</f>
        <v>1</v>
      </c>
      <c r="B13" s="11" t="n">
        <f aca="false">'Trial Data'!C5</f>
        <v>32.3</v>
      </c>
      <c r="C13" s="9" t="n">
        <f aca="false">'Trial Data'!G5</f>
        <v>1.63</v>
      </c>
      <c r="D13" s="9" t="n">
        <f aca="false">$D$5*B13+$E$5</f>
        <v>1.50405104781766</v>
      </c>
      <c r="E13" s="9" t="n">
        <f aca="false">C13-D13</f>
        <v>0.125948952182339</v>
      </c>
    </row>
    <row r="14" customFormat="false" ht="15" hidden="false" customHeight="false" outlineLevel="0" collapsed="false">
      <c r="A14" s="11" t="n">
        <f aca="false">'Trial Data'!A6</f>
        <v>2</v>
      </c>
      <c r="B14" s="11" t="n">
        <f aca="false">'Trial Data'!C6</f>
        <v>41.3</v>
      </c>
      <c r="C14" s="9" t="n">
        <f aca="false">'Trial Data'!G6</f>
        <v>3.36</v>
      </c>
      <c r="D14" s="9" t="n">
        <f aca="false">$D$5*B14+$E$5</f>
        <v>2.94172941483152</v>
      </c>
      <c r="E14" s="9" t="n">
        <f aca="false">C14-D14</f>
        <v>0.418270585168478</v>
      </c>
    </row>
    <row r="15" customFormat="false" ht="15" hidden="false" customHeight="false" outlineLevel="0" collapsed="false">
      <c r="A15" s="11" t="n">
        <f aca="false">'Trial Data'!A7</f>
        <v>3</v>
      </c>
      <c r="B15" s="11" t="n">
        <f aca="false">'Trial Data'!C7</f>
        <v>30</v>
      </c>
      <c r="C15" s="9" t="n">
        <f aca="false">'Trial Data'!G7</f>
        <v>1.12</v>
      </c>
      <c r="D15" s="9" t="n">
        <f aca="false">$D$5*B15+$E$5</f>
        <v>1.13664435402523</v>
      </c>
      <c r="E15" s="9" t="n">
        <f aca="false">C15-D15</f>
        <v>-0.0166443540252299</v>
      </c>
    </row>
    <row r="16" customFormat="false" ht="15" hidden="false" customHeight="false" outlineLevel="0" collapsed="false">
      <c r="A16" s="11" t="n">
        <f aca="false">'Trial Data'!A8</f>
        <v>4</v>
      </c>
      <c r="B16" s="11" t="n">
        <f aca="false">'Trial Data'!C8</f>
        <v>33.3</v>
      </c>
      <c r="C16" s="9" t="n">
        <f aca="false">'Trial Data'!G8</f>
        <v>1.29</v>
      </c>
      <c r="D16" s="9" t="n">
        <f aca="false">$D$5*B16+$E$5</f>
        <v>1.66379308859698</v>
      </c>
      <c r="E16" s="9" t="n">
        <f aca="false">C16-D16</f>
        <v>-0.373793088596979</v>
      </c>
    </row>
    <row r="17" customFormat="false" ht="15" hidden="false" customHeight="false" outlineLevel="0" collapsed="false">
      <c r="A17" s="11" t="n">
        <f aca="false">'Trial Data'!A9</f>
        <v>5</v>
      </c>
      <c r="B17" s="11" t="n">
        <f aca="false">'Trial Data'!C9</f>
        <v>42.3</v>
      </c>
      <c r="C17" s="9" t="n">
        <f aca="false">'Trial Data'!G9</f>
        <v>3.04</v>
      </c>
      <c r="D17" s="9" t="n">
        <f aca="false">$D$5*B17+$E$5</f>
        <v>3.10147145561084</v>
      </c>
      <c r="E17" s="9" t="n">
        <f aca="false">C17-D17</f>
        <v>-0.0614714556108398</v>
      </c>
    </row>
    <row r="18" customFormat="false" ht="15" hidden="false" customHeight="false" outlineLevel="0" collapsed="false">
      <c r="A18" s="11" t="n">
        <f aca="false">'Trial Data'!A10</f>
        <v>6</v>
      </c>
      <c r="B18" s="11" t="n">
        <f aca="false">'Trial Data'!C10</f>
        <v>43.3</v>
      </c>
      <c r="C18" s="9" t="n">
        <f aca="false">'Trial Data'!G10</f>
        <v>3.24</v>
      </c>
      <c r="D18" s="9" t="n">
        <f aca="false">$D$5*B18+$E$5</f>
        <v>3.26121349639016</v>
      </c>
      <c r="E18" s="9" t="n">
        <f aca="false">C18-D18</f>
        <v>-0.0212134963901569</v>
      </c>
    </row>
    <row r="19" customFormat="false" ht="15" hidden="false" customHeight="false" outlineLevel="0" collapsed="false">
      <c r="A19" s="11" t="n">
        <f aca="false">'Trial Data'!A11</f>
        <v>7</v>
      </c>
      <c r="B19" s="11" t="n">
        <f aca="false">'Trial Data'!C11</f>
        <v>31.7</v>
      </c>
      <c r="C19" s="9" t="n">
        <f aca="false">'Trial Data'!G11</f>
        <v>1.37</v>
      </c>
      <c r="D19" s="9" t="n">
        <f aca="false">$D$5*B19+$E$5</f>
        <v>1.40820582335007</v>
      </c>
      <c r="E19" s="9" t="n">
        <f aca="false">C19-D19</f>
        <v>-0.0382058233500695</v>
      </c>
    </row>
    <row r="20" customFormat="false" ht="15" hidden="false" customHeight="false" outlineLevel="0" collapsed="false">
      <c r="A20" s="11" t="n">
        <f aca="false">'Trial Data'!A12</f>
        <v>8</v>
      </c>
      <c r="B20" s="11" t="n">
        <f aca="false">'Trial Data'!C12</f>
        <v>32.6</v>
      </c>
      <c r="C20" s="9" t="n">
        <f aca="false">'Trial Data'!G12</f>
        <v>1.6</v>
      </c>
      <c r="D20" s="9" t="n">
        <f aca="false">$D$5*B20+$E$5</f>
        <v>1.55197366005146</v>
      </c>
      <c r="E20" s="9" t="n">
        <f aca="false">C20-D20</f>
        <v>0.0480263399485437</v>
      </c>
    </row>
    <row r="21" customFormat="false" ht="15" hidden="false" customHeight="false" outlineLevel="0" collapsed="false">
      <c r="A21" s="11" t="n">
        <f aca="false">'Trial Data'!A13</f>
        <v>9</v>
      </c>
      <c r="B21" s="11" t="n">
        <f aca="false">'Trial Data'!C13</f>
        <v>40.9</v>
      </c>
      <c r="C21" s="9" t="n">
        <f aca="false">'Trial Data'!G13</f>
        <v>2.74</v>
      </c>
      <c r="D21" s="9" t="n">
        <f aca="false">$D$5*B21+$E$5</f>
        <v>2.87783259851979</v>
      </c>
      <c r="E21" s="9" t="n">
        <f aca="false">C21-D21</f>
        <v>-0.137832598519794</v>
      </c>
    </row>
    <row r="22" customFormat="false" ht="15" hidden="false" customHeight="false" outlineLevel="0" collapsed="false">
      <c r="A22" s="11" t="n">
        <f aca="false">'Trial Data'!A14</f>
        <v>10</v>
      </c>
      <c r="B22" s="11" t="n">
        <f aca="false">'Trial Data'!C14</f>
        <v>38.1</v>
      </c>
      <c r="C22" s="9" t="n">
        <f aca="false">'Trial Data'!G14</f>
        <v>2.09</v>
      </c>
      <c r="D22" s="9" t="n">
        <f aca="false">$D$5*B22+$E$5</f>
        <v>2.43055488433771</v>
      </c>
      <c r="E22" s="9" t="n">
        <f aca="false">C22-D22</f>
        <v>-0.340554884337705</v>
      </c>
    </row>
    <row r="23" customFormat="false" ht="15" hidden="false" customHeight="false" outlineLevel="0" collapsed="false">
      <c r="A23" s="11" t="n">
        <f aca="false">'Trial Data'!A15</f>
        <v>11</v>
      </c>
      <c r="B23" s="11" t="n">
        <f aca="false">'Trial Data'!C15</f>
        <v>41.6</v>
      </c>
      <c r="C23" s="9" t="n">
        <f aca="false">'Trial Data'!G15</f>
        <v>2.65</v>
      </c>
      <c r="D23" s="9" t="n">
        <f aca="false">$D$5*B23+$E$5</f>
        <v>2.98965202706532</v>
      </c>
      <c r="E23" s="9" t="n">
        <f aca="false">C23-D23</f>
        <v>-0.339652027065318</v>
      </c>
    </row>
    <row r="24" customFormat="false" ht="15" hidden="false" customHeight="false" outlineLevel="0" collapsed="false">
      <c r="A24" s="11" t="n">
        <f aca="false">'Trial Data'!A16</f>
        <v>12</v>
      </c>
      <c r="B24" s="11" t="n">
        <f aca="false">'Trial Data'!C16</f>
        <v>36.3</v>
      </c>
      <c r="C24" s="9" t="n">
        <f aca="false">'Trial Data'!G16</f>
        <v>2.18</v>
      </c>
      <c r="D24" s="9" t="n">
        <f aca="false">$D$5*B24+$E$5</f>
        <v>2.14301921093493</v>
      </c>
      <c r="E24" s="9" t="n">
        <f aca="false">C24-D24</f>
        <v>0.0369807890650677</v>
      </c>
    </row>
    <row r="25" customFormat="false" ht="15" hidden="false" customHeight="false" outlineLevel="0" collapsed="false">
      <c r="A25" s="11" t="n">
        <f aca="false">'Trial Data'!A17</f>
        <v>13</v>
      </c>
      <c r="B25" s="11" t="n">
        <f aca="false">'Trial Data'!C17</f>
        <v>30.4</v>
      </c>
      <c r="C25" s="9" t="n">
        <f aca="false">'Trial Data'!G17</f>
        <v>0.75</v>
      </c>
      <c r="D25" s="9" t="n">
        <f aca="false">$D$5*B25+$E$5</f>
        <v>1.20054117033696</v>
      </c>
      <c r="E25" s="9" t="n">
        <f aca="false">C25-D25</f>
        <v>-0.450541170336956</v>
      </c>
    </row>
    <row r="26" customFormat="false" ht="15" hidden="false" customHeight="false" outlineLevel="0" collapsed="false">
      <c r="A26" s="11" t="n">
        <f aca="false">'Trial Data'!A18</f>
        <v>14</v>
      </c>
      <c r="B26" s="11" t="n">
        <f aca="false">'Trial Data'!C18</f>
        <v>37.7</v>
      </c>
      <c r="C26" s="9" t="n">
        <f aca="false">'Trial Data'!G18</f>
        <v>2.46</v>
      </c>
      <c r="D26" s="9" t="n">
        <f aca="false">$D$5*B26+$E$5</f>
        <v>2.36665806802598</v>
      </c>
      <c r="E26" s="9" t="n">
        <f aca="false">C26-D26</f>
        <v>0.0933419319740221</v>
      </c>
    </row>
    <row r="27" customFormat="false" ht="15" hidden="false" customHeight="false" outlineLevel="0" collapsed="false">
      <c r="A27" s="11" t="n">
        <f aca="false">'Trial Data'!A19</f>
        <v>15</v>
      </c>
      <c r="B27" s="11" t="n">
        <f aca="false">'Trial Data'!C19</f>
        <v>37.8</v>
      </c>
      <c r="C27" s="9" t="n">
        <f aca="false">'Trial Data'!G19</f>
        <v>2.1</v>
      </c>
      <c r="D27" s="9" t="n">
        <f aca="false">$D$5*B27+$E$5</f>
        <v>2.38263227210391</v>
      </c>
      <c r="E27" s="9" t="n">
        <f aca="false">C27-D27</f>
        <v>-0.282632272103909</v>
      </c>
    </row>
    <row r="28" customFormat="false" ht="15" hidden="false" customHeight="false" outlineLevel="0" collapsed="false">
      <c r="A28" s="11" t="n">
        <f aca="false">'Trial Data'!A20</f>
        <v>16</v>
      </c>
      <c r="B28" s="11" t="n">
        <f aca="false">'Trial Data'!C20</f>
        <v>34.9</v>
      </c>
      <c r="C28" s="9" t="n">
        <f aca="false">'Trial Data'!G20</f>
        <v>2.42</v>
      </c>
      <c r="D28" s="9" t="n">
        <f aca="false">$D$5*B28+$E$5</f>
        <v>1.91938035384389</v>
      </c>
      <c r="E28" s="9" t="n">
        <f aca="false">C28-D28</f>
        <v>0.500619646156113</v>
      </c>
    </row>
    <row r="29" customFormat="false" ht="15" hidden="false" customHeight="false" outlineLevel="0" collapsed="false">
      <c r="A29" s="11" t="n">
        <f aca="false">'Trial Data'!A21</f>
        <v>17</v>
      </c>
      <c r="B29" s="11" t="n">
        <f aca="false">'Trial Data'!C21</f>
        <v>30.9</v>
      </c>
      <c r="C29" s="9" t="n">
        <f aca="false">'Trial Data'!G21</f>
        <v>1.19</v>
      </c>
      <c r="D29" s="9" t="n">
        <f aca="false">$D$5*B29+$E$5</f>
        <v>1.28041219072662</v>
      </c>
      <c r="E29" s="9" t="n">
        <f aca="false">C29-D29</f>
        <v>-0.090412190726616</v>
      </c>
    </row>
    <row r="30" customFormat="false" ht="15" hidden="false" customHeight="false" outlineLevel="0" collapsed="false">
      <c r="A30" s="11" t="n">
        <f aca="false">'Trial Data'!A22</f>
        <v>18</v>
      </c>
      <c r="B30" s="11" t="n">
        <f aca="false">'Trial Data'!C22</f>
        <v>42.6</v>
      </c>
      <c r="C30" s="9" t="n">
        <f aca="false">'Trial Data'!G22</f>
        <v>2.94</v>
      </c>
      <c r="D30" s="9" t="n">
        <f aca="false">$D$5*B30+$E$5</f>
        <v>3.14939406784464</v>
      </c>
      <c r="E30" s="9" t="n">
        <f aca="false">C30-D30</f>
        <v>-0.209394067844636</v>
      </c>
    </row>
    <row r="31" customFormat="false" ht="15" hidden="false" customHeight="false" outlineLevel="0" collapsed="false">
      <c r="A31" s="11" t="n">
        <f aca="false">'Trial Data'!A23</f>
        <v>19</v>
      </c>
      <c r="B31" s="11" t="n">
        <f aca="false">'Trial Data'!C23</f>
        <v>43.5</v>
      </c>
      <c r="C31" s="9" t="n">
        <f aca="false">'Trial Data'!G23</f>
        <v>3.15</v>
      </c>
      <c r="D31" s="9" t="n">
        <f aca="false">$D$5*B31+$E$5</f>
        <v>3.29316190454602</v>
      </c>
      <c r="E31" s="9" t="n">
        <f aca="false">C31-D31</f>
        <v>-0.143161904546022</v>
      </c>
    </row>
    <row r="32" customFormat="false" ht="15" hidden="false" customHeight="false" outlineLevel="0" collapsed="false">
      <c r="A32" s="11" t="n">
        <f aca="false">'Trial Data'!A24</f>
        <v>20</v>
      </c>
      <c r="B32" s="11" t="n">
        <f aca="false">'Trial Data'!C24</f>
        <v>42.3</v>
      </c>
      <c r="C32" s="9" t="n">
        <f aca="false">'Trial Data'!G24</f>
        <v>3.14</v>
      </c>
      <c r="D32" s="9" t="n">
        <f aca="false">$D$5*B32+$E$5</f>
        <v>3.10147145561084</v>
      </c>
      <c r="E32" s="9" t="n">
        <f aca="false">C32-D32</f>
        <v>0.0385285443891603</v>
      </c>
    </row>
    <row r="33" customFormat="false" ht="15" hidden="false" customHeight="false" outlineLevel="0" collapsed="false">
      <c r="A33" s="11" t="n">
        <f aca="false">'Trial Data'!A25</f>
        <v>21</v>
      </c>
      <c r="B33" s="11" t="n">
        <f aca="false">'Trial Data'!C25</f>
        <v>40.8</v>
      </c>
      <c r="C33" s="9" t="n">
        <f aca="false">'Trial Data'!G25</f>
        <v>2.8</v>
      </c>
      <c r="D33" s="9" t="n">
        <f aca="false">$D$5*B33+$E$5</f>
        <v>2.86185839444186</v>
      </c>
      <c r="E33" s="9" t="n">
        <f aca="false">C33-D33</f>
        <v>-0.0618583944418631</v>
      </c>
    </row>
    <row r="34" customFormat="false" ht="15" hidden="false" customHeight="false" outlineLevel="0" collapsed="false">
      <c r="A34" s="11" t="n">
        <f aca="false">'Trial Data'!A26</f>
        <v>22</v>
      </c>
      <c r="B34" s="11" t="n">
        <f aca="false">'Trial Data'!C26</f>
        <v>35.9</v>
      </c>
      <c r="C34" s="9" t="n">
        <f aca="false">'Trial Data'!G26</f>
        <v>2.2</v>
      </c>
      <c r="D34" s="9" t="n">
        <f aca="false">$D$5*B34+$E$5</f>
        <v>2.07912239462321</v>
      </c>
      <c r="E34" s="9" t="n">
        <f aca="false">C34-D34</f>
        <v>0.120877605376795</v>
      </c>
    </row>
    <row r="35" customFormat="false" ht="15" hidden="false" customHeight="false" outlineLevel="0" collapsed="false">
      <c r="A35" s="11" t="n">
        <f aca="false">'Trial Data'!A27</f>
        <v>23</v>
      </c>
      <c r="B35" s="11" t="n">
        <f aca="false">'Trial Data'!C27</f>
        <v>42.6</v>
      </c>
      <c r="C35" s="9" t="n">
        <f aca="false">'Trial Data'!G27</f>
        <v>3.26</v>
      </c>
      <c r="D35" s="9" t="n">
        <f aca="false">$D$5*B35+$E$5</f>
        <v>3.14939406784464</v>
      </c>
      <c r="E35" s="9" t="n">
        <f aca="false">C35-D35</f>
        <v>0.110605932155364</v>
      </c>
    </row>
    <row r="36" customFormat="false" ht="15" hidden="false" customHeight="false" outlineLevel="0" collapsed="false">
      <c r="A36" s="11" t="n">
        <f aca="false">'Trial Data'!A28</f>
        <v>24</v>
      </c>
      <c r="B36" s="11" t="n">
        <f aca="false">'Trial Data'!C28</f>
        <v>37.4</v>
      </c>
      <c r="C36" s="9" t="n">
        <f aca="false">'Trial Data'!G28</f>
        <v>3.05</v>
      </c>
      <c r="D36" s="9" t="n">
        <f aca="false">$D$5*B36+$E$5</f>
        <v>2.31873545579218</v>
      </c>
      <c r="E36" s="9" t="n">
        <f aca="false">C36-D36</f>
        <v>0.731264544207818</v>
      </c>
    </row>
    <row r="37" customFormat="false" ht="15" hidden="false" customHeight="false" outlineLevel="0" collapsed="false">
      <c r="A37" s="11" t="n">
        <f aca="false">'Trial Data'!A29</f>
        <v>25</v>
      </c>
      <c r="B37" s="11" t="n">
        <f aca="false">'Trial Data'!C29</f>
        <v>41.7</v>
      </c>
      <c r="C37" s="9" t="n">
        <f aca="false">'Trial Data'!G29</f>
        <v>2.76</v>
      </c>
      <c r="D37" s="9" t="n">
        <f aca="false">$D$5*B37+$E$5</f>
        <v>3.00562623114325</v>
      </c>
      <c r="E37" s="9" t="n">
        <f aca="false">C37-D37</f>
        <v>-0.24562623114325</v>
      </c>
    </row>
    <row r="38" customFormat="false" ht="15" hidden="false" customHeight="false" outlineLevel="0" collapsed="false">
      <c r="A38" s="11" t="n">
        <f aca="false">'Trial Data'!A30</f>
        <v>26</v>
      </c>
      <c r="B38" s="11" t="n">
        <f aca="false">'Trial Data'!C30</f>
        <v>41.9</v>
      </c>
      <c r="C38" s="9" t="n">
        <f aca="false">'Trial Data'!G30</f>
        <v>3.1</v>
      </c>
      <c r="D38" s="9" t="n">
        <f aca="false">$D$5*B38+$E$5</f>
        <v>3.03757463929911</v>
      </c>
      <c r="E38" s="9" t="n">
        <f aca="false">C38-D38</f>
        <v>0.0624253607008876</v>
      </c>
    </row>
    <row r="39" customFormat="false" ht="15" hidden="false" customHeight="false" outlineLevel="0" collapsed="false">
      <c r="A39" s="11" t="n">
        <f aca="false">'Trial Data'!A31</f>
        <v>27</v>
      </c>
      <c r="B39" s="11" t="n">
        <f aca="false">'Trial Data'!C31</f>
        <v>40.8</v>
      </c>
      <c r="C39" s="9" t="n">
        <f aca="false">'Trial Data'!G31</f>
        <v>3</v>
      </c>
      <c r="D39" s="9" t="n">
        <f aca="false">$D$5*B39+$E$5</f>
        <v>2.86185839444186</v>
      </c>
      <c r="E39" s="9" t="n">
        <f aca="false">C39-D39</f>
        <v>0.138141605558137</v>
      </c>
    </row>
    <row r="40" customFormat="false" ht="15" hidden="false" customHeight="false" outlineLevel="0" collapsed="false">
      <c r="A40" s="11" t="n">
        <f aca="false">'Trial Data'!A32</f>
        <v>28</v>
      </c>
      <c r="B40" s="11" t="n">
        <f aca="false">'Trial Data'!C32</f>
        <v>39</v>
      </c>
      <c r="C40" s="9" t="n">
        <f aca="false">'Trial Data'!G32</f>
        <v>2.71</v>
      </c>
      <c r="D40" s="9" t="n">
        <f aca="false">$D$5*B40+$E$5</f>
        <v>2.57432272103909</v>
      </c>
      <c r="E40" s="9" t="n">
        <f aca="false">C40-D40</f>
        <v>0.135677278960909</v>
      </c>
    </row>
    <row r="41" customFormat="false" ht="15" hidden="false" customHeight="false" outlineLevel="0" collapsed="false">
      <c r="A41" s="11" t="n">
        <f aca="false">'Trial Data'!A33</f>
        <v>29</v>
      </c>
      <c r="B41" s="11" t="n">
        <f aca="false">'Trial Data'!C33</f>
        <v>35.7</v>
      </c>
      <c r="C41" s="9" t="n">
        <f aca="false">'Trial Data'!G33</f>
        <v>2.24</v>
      </c>
      <c r="D41" s="9" t="n">
        <f aca="false">$D$5*B41+$E$5</f>
        <v>2.04717398646734</v>
      </c>
      <c r="E41" s="9" t="n">
        <f aca="false">C41-D41</f>
        <v>0.192826013532658</v>
      </c>
    </row>
    <row r="42" customFormat="false" ht="15" hidden="false" customHeight="false" outlineLevel="0" collapsed="false">
      <c r="A42" s="11" t="n">
        <f aca="false">'Trial Data'!A34</f>
        <v>30</v>
      </c>
      <c r="B42" s="11" t="n">
        <f aca="false">'Trial Data'!C34</f>
        <v>30.4</v>
      </c>
      <c r="C42" s="9" t="n">
        <f aca="false">'Trial Data'!G34</f>
        <v>1.26</v>
      </c>
      <c r="D42" s="9" t="n">
        <f aca="false">$D$5*B42+$E$5</f>
        <v>1.20054117033696</v>
      </c>
      <c r="E42" s="9" t="n">
        <f aca="false">C42-D42</f>
        <v>0.0594588296630436</v>
      </c>
    </row>
    <row r="44" customFormat="false" ht="15" hidden="false" customHeight="false" outlineLevel="0" collapsed="false">
      <c r="A44" s="13" t="s">
        <v>28</v>
      </c>
      <c r="B44" s="13"/>
      <c r="C44" s="13"/>
      <c r="D44" s="13"/>
      <c r="E44" s="13"/>
      <c r="F44" s="13"/>
    </row>
  </sheetData>
  <mergeCells count="1"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2" t="s">
        <v>31</v>
      </c>
      <c r="D4" s="14" t="n">
        <v>3</v>
      </c>
    </row>
    <row r="5" customFormat="false" ht="15" hidden="false" customHeight="false" outlineLevel="0" collapsed="false">
      <c r="A5" s="12" t="s">
        <v>32</v>
      </c>
      <c r="D5" s="14" t="n">
        <v>36</v>
      </c>
    </row>
    <row r="7" customFormat="false" ht="15" hidden="false" customHeight="false" outlineLevel="0" collapsed="false">
      <c r="A7" s="12" t="s">
        <v>33</v>
      </c>
    </row>
    <row r="8" customFormat="false" ht="31.5" hidden="false" customHeight="true" outlineLevel="0" collapsed="false">
      <c r="A8" s="3" t="s">
        <v>34</v>
      </c>
      <c r="B8" s="3" t="s">
        <v>35</v>
      </c>
      <c r="C8" s="3" t="s">
        <v>36</v>
      </c>
      <c r="D8" s="3" t="s">
        <v>37</v>
      </c>
    </row>
    <row r="9" customFormat="false" ht="15" hidden="false" customHeight="false" outlineLevel="0" collapsed="false">
      <c r="A9" s="8" t="s">
        <v>22</v>
      </c>
      <c r="B9" s="15" t="n">
        <v>33.5</v>
      </c>
      <c r="C9" s="4" t="n">
        <f aca="false">$D$5</f>
        <v>36</v>
      </c>
      <c r="D9" s="11" t="str">
        <f aca="false">IF(B9&lt;C9,"BELOW RECOMMENDED - likely root cause","OK")</f>
        <v>BELOW RECOMMENDED - likely root cause</v>
      </c>
    </row>
    <row r="10" customFormat="false" ht="15" hidden="false" customHeight="false" outlineLevel="0" collapsed="false">
      <c r="A10" s="8" t="s">
        <v>5</v>
      </c>
      <c r="B10" s="15" t="n">
        <v>165</v>
      </c>
      <c r="C10" s="15" t="n">
        <v>160</v>
      </c>
      <c r="D10" s="11" t="str">
        <f aca="false">IF(B10&lt;C10,"Below typical - minor factor","OK")</f>
        <v>OK</v>
      </c>
    </row>
    <row r="11" customFormat="false" ht="15" hidden="false" customHeight="false" outlineLevel="0" collapsed="false">
      <c r="A11" s="8" t="s">
        <v>6</v>
      </c>
      <c r="B11" s="15" t="n">
        <v>10.5</v>
      </c>
      <c r="C11" s="15" t="n">
        <v>12</v>
      </c>
      <c r="D11" s="11" t="str">
        <f aca="false">IF(ABS(B11-C11)&gt;3,"Check formulation - minor factor","OK")</f>
        <v>OK</v>
      </c>
    </row>
    <row r="13" customFormat="false" ht="15" hidden="false" customHeight="false" outlineLevel="0" collapsed="false">
      <c r="A13" s="12" t="s">
        <v>38</v>
      </c>
      <c r="D13" s="16" t="n">
        <f aca="false">'Correlation &amp; Regression'!$D$5*B9+'Correlation &amp; Regression'!$E$5</f>
        <v>1.69574149675284</v>
      </c>
    </row>
    <row r="14" customFormat="false" ht="15" hidden="false" customHeight="false" outlineLevel="0" collapsed="false">
      <c r="A14" s="12" t="s">
        <v>39</v>
      </c>
      <c r="D14" s="17" t="str">
        <f aca="false">IF(D13&gt;=D4,"Predicted PASS","Predicted FAIL - Corona treatment is the likely root cause")</f>
        <v>Predicted FAIL - Corona treatment is the likely root cause</v>
      </c>
    </row>
    <row r="16" customFormat="false" ht="15" hidden="false" customHeight="false" outlineLevel="0" collapsed="false">
      <c r="A16" s="13" t="s">
        <v>40</v>
      </c>
      <c r="B16" s="13"/>
      <c r="C16" s="13"/>
      <c r="D16" s="13"/>
    </row>
  </sheetData>
  <mergeCells count="1"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1.5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69.75" hidden="false" customHeight="true" outlineLevel="0" collapsed="false">
      <c r="A5" s="4" t="s">
        <v>46</v>
      </c>
      <c r="B5" s="18" t="s">
        <v>47</v>
      </c>
      <c r="C5" s="18" t="s">
        <v>48</v>
      </c>
    </row>
    <row r="6" customFormat="false" ht="69.75" hidden="false" customHeight="true" outlineLevel="0" collapsed="false">
      <c r="A6" s="4" t="s">
        <v>49</v>
      </c>
      <c r="B6" s="18" t="s">
        <v>50</v>
      </c>
      <c r="C6" s="18" t="s">
        <v>51</v>
      </c>
    </row>
    <row r="7" customFormat="false" ht="69.75" hidden="false" customHeight="true" outlineLevel="0" collapsed="false">
      <c r="A7" s="4" t="s">
        <v>52</v>
      </c>
      <c r="B7" s="18" t="s">
        <v>53</v>
      </c>
      <c r="C7" s="18" t="s">
        <v>54</v>
      </c>
    </row>
    <row r="8" customFormat="false" ht="69.75" hidden="false" customHeight="true" outlineLevel="0" collapsed="false">
      <c r="A8" s="4" t="s">
        <v>55</v>
      </c>
      <c r="B8" s="18" t="s">
        <v>56</v>
      </c>
      <c r="C8" s="18" t="s">
        <v>57</v>
      </c>
    </row>
    <row r="10" customFormat="false" ht="15" hidden="false" customHeight="false" outlineLevel="0" collapsed="false">
      <c r="A10" s="12" t="s">
        <v>58</v>
      </c>
    </row>
    <row r="11" customFormat="false" ht="60" hidden="false" customHeight="true" outlineLevel="0" collapsed="false">
      <c r="A11" s="19" t="s">
        <v>59</v>
      </c>
      <c r="B11" s="19"/>
      <c r="C11" s="19"/>
    </row>
  </sheetData>
  <mergeCells count="1"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2026-09-27T18:04:18Z</dcterms:created>
  <dc:creator>openpyxl</dc:creator>
  <dc:description/>
  <dc:language>en-US</dc:language>
  <cp:lastModifiedBy/>
  <dcterms:modified xsi:type="dcterms:W3CDTF">2026-09-27T23:34:26Z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