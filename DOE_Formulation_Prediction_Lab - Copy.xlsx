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E Design &amp; Results" sheetId="1" state="visible" r:id="rId3"/>
    <sheet name="Effect Analysis" sheetId="2" state="visible" r:id="rId4"/>
    <sheet name="Prediction Calculator" sheetId="3" state="visible" r:id="rId5"/>
    <sheet name="Copilot Promp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<sst xmlns="http://schemas.openxmlformats.org/spreadsheetml/2006/main" count="65" uniqueCount="56">
  <si>
    <t xml:space="preserve">PEREPA EDU — Design of Experiments (2^3 Full Factorial, 2 Replicates)</t>
  </si>
  <si>
    <t xml:space="preserve">Predicting Viscosity from Resin %, Pigment %, and Drying Aid % — 8 combinations x 2 replicates = 16 runs</t>
  </si>
  <si>
    <t xml:space="preserve">Factor Levels</t>
  </si>
  <si>
    <t xml:space="preserve">Factor</t>
  </si>
  <si>
    <t xml:space="preserve">Description</t>
  </si>
  <si>
    <t xml:space="preserve">Low (-1)</t>
  </si>
  <si>
    <t xml:space="preserve">High (+1)</t>
  </si>
  <si>
    <t xml:space="preserve">Factor A</t>
  </si>
  <si>
    <t xml:space="preserve">Resin (%)</t>
  </si>
  <si>
    <t xml:space="preserve">Factor B</t>
  </si>
  <si>
    <t xml:space="preserve">Pigment (%)</t>
  </si>
  <si>
    <t xml:space="preserve">Factor C</t>
  </si>
  <si>
    <t xml:space="preserve">Drying Aid Additive (%)</t>
  </si>
  <si>
    <t xml:space="preserve">Run</t>
  </si>
  <si>
    <t xml:space="preserve">Factor A
(coded)</t>
  </si>
  <si>
    <t xml:space="preserve">Factor B
(coded)</t>
  </si>
  <si>
    <t xml:space="preserve">Factor C
(coded)</t>
  </si>
  <si>
    <t xml:space="preserve">Additive (%)</t>
  </si>
  <si>
    <t xml:space="preserve">Viscosity (cP)
[measured]</t>
  </si>
  <si>
    <t xml:space="preserve">Coded -1/+1 columns are the DOE design; actual % columns are what the chemist mixes; Viscosity is measured on a viscometer per run.</t>
  </si>
  <si>
    <t xml:space="preserve">Main Effect of Each Factor on Viscosity</t>
  </si>
  <si>
    <t xml:space="preserve">Effect = Average(Viscosity at High level) - Average(Viscosity at Low level)</t>
  </si>
  <si>
    <t xml:space="preserve">Avg Viscosity
at Low (-1)</t>
  </si>
  <si>
    <t xml:space="preserve">Avg Viscosity
at High (+1)</t>
  </si>
  <si>
    <t xml:space="preserve">Effect
(High - Low)</t>
  </si>
  <si>
    <t xml:space="preserve">Half-Effect
(model coefficient)</t>
  </si>
  <si>
    <t xml:space="preserve">% of Total Effect Magnitude</t>
  </si>
  <si>
    <t xml:space="preserve">Factor A (Resin (%))</t>
  </si>
  <si>
    <t xml:space="preserve">Factor B (Pigment (%))</t>
  </si>
  <si>
    <t xml:space="preserve">Factor C (Drying Aid Additive (%))</t>
  </si>
  <si>
    <t xml:space="preserve">Grand Mean (all 16 runs)</t>
  </si>
  <si>
    <t xml:space="preserve">Resin % carries most of the effect magnitude — that is the lever to pull if a customer wants higher or lower viscosity. Pigment % is secondary; the additive is essentially noise here.</t>
  </si>
  <si>
    <t xml:space="preserve">What-If — Predict Viscosity for a New Recipe</t>
  </si>
  <si>
    <t xml:space="preserve">Enter any Resin/Pigment/Additive % within the tested range; the DOE model predicts Viscosity</t>
  </si>
  <si>
    <t xml:space="preserve">New Recipe Value</t>
  </si>
  <si>
    <t xml:space="preserve">Coded Value</t>
  </si>
  <si>
    <t xml:space="preserve">Half-Effect (coeff)</t>
  </si>
  <si>
    <t xml:space="preserve">Predicted Viscosity (cP)</t>
  </si>
  <si>
    <t xml:space="preserve">Change the New Recipe Value cells above — the predicted viscosity updates instantly, without running a physical trial. Validate any promising recipe with a real trial before committing to production.</t>
  </si>
  <si>
    <t xml:space="preserve">How R&amp;D Used Copilot to Build This DOE Model</t>
  </si>
  <si>
    <t xml:space="preserve">Training reference: prompt sequence and what Copilot generated</t>
  </si>
  <si>
    <t xml:space="preserve">Step</t>
  </si>
  <si>
    <t xml:space="preserve">Prompt Typed Into Copilot</t>
  </si>
  <si>
    <t xml:space="preserve">What Copilot Built / Which Cells</t>
  </si>
  <si>
    <t xml:space="preserve">1</t>
  </si>
  <si>
    <t xml:space="preserve">Set up a 2-level full factorial design for 3 factors — Resin %, Pigment %, and Drying Aid % — with 2 replicates, and randomize the run order.</t>
  </si>
  <si>
    <t xml:space="preserve">'DOE Design &amp; Results'!A10:H26 — the coded -1/+1 design matrix, actual % values per run, and a randomized run order, ready for the lab to execute.</t>
  </si>
  <si>
    <t xml:space="preserve">2</t>
  </si>
  <si>
    <t xml:space="preserve">From the 16 measured viscosity results, calculate the main effect of each factor.</t>
  </si>
  <si>
    <t xml:space="preserve">'Effect Analysis'!A5:F7 — AVERAGEIF at each factor's low/high level, effect = high avg - low avg, plus a chart ranking effect size.</t>
  </si>
  <si>
    <t xml:space="preserve">3</t>
  </si>
  <si>
    <t xml:space="preserve">Build a simple prediction model from these effects so I can estimate viscosity for any new recipe within the tested range, without running a new trial.</t>
  </si>
  <si>
    <t xml:space="preserve">'Prediction Calculator'!A5:F8 — converts a new recipe's actual values to coded form, and predicts viscosity as grand mean + sum of (coded value x half-effect).</t>
  </si>
  <si>
    <t xml:space="preserve">4</t>
  </si>
  <si>
    <t xml:space="preserve">If I want viscosity at exactly 45 cP for a new customer spec, what Resin % should I target, holding Pigment and Additive at their current levels?</t>
  </si>
  <si>
    <t xml:space="preserve">This needs solving the prediction formula backwards for Resin % — Copilot can do this algebraically, or you back-solve using Goal Seek on the Prediction Calculator sheet.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</si>
</sst>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Main Effect Size by Factor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'Effect Analysis'!D4</c:f>
              <c:strCache>
                <c:ptCount val="1"/>
                <c:pt idx="0">
                  <c:v>Effect
(High - Low)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'Effect Analysis'!$A$5:$A$7</c:f>
              <c:strCache>
                <c:ptCount val="3"/>
                <c:pt idx="0">
                  <c:v>Factor A (Resin (%))</c:v>
                </c:pt>
                <c:pt idx="1">
                  <c:v>Factor B (Pigment (%))</c:v>
                </c:pt>
                <c:pt idx="2">
                  <c:v>Factor C (Drying Aid Additive (%))</c:v>
                </c:pt>
              </c:strCache>
            </c:strRef>
          </c:cat>
          <c:val>
            <c:numRef>
              <c:f>'Effect Analysis'!$D$5:$D$7</c:f>
              <c:numCache>
                <c:formatCode>0.00</c:formatCode>
                <c:ptCount val="3"/>
                <c:pt idx="0">
                  <c:v>15.55</c:v>
                </c:pt>
                <c:pt idx="1">
                  <c:v>4.775</c:v>
                </c:pt>
                <c:pt idx="2">
                  <c:v>1.5</c:v>
                </c:pt>
              </c:numCache>
            </c:numRef>
          </c:val>
        </c:ser>
        <c:gapWidth val="150"/>
        <c:overlap val="0"/>
        <c:axId val="66400020"/>
        <c:axId val="95492743"/>
      </c:barChart>
      <c:catAx>
        <c:axId val="664000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492743"/>
        <c:crosses val="autoZero"/>
        <c:auto val="1"/>
        <c:lblAlgn val="ctr"/>
        <c:lblOffset val="100"/>
        <c:noMultiLvlLbl val="0"/>
      </c:catAx>
      <c:valAx>
        <c:axId val="954927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Effect on Viscosity (cP)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4000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15</xdr:col>
      <xdr:colOff>507600</xdr:colOff>
      <xdr:row>17</xdr:row>
      <xdr:rowOff>2880</xdr:rowOff>
    </xdr:to>
    <xdr:graphicFrame>
      <xdr:nvGraphicFramePr>
        <xdr:cNvPr id="1" name="Chart 1"/>
        <xdr:cNvGraphicFramePr/>
      </xdr:nvGraphicFramePr>
      <xdr:xfrm>
        <a:off x="7941960" y="6012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4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s">
        <v>8</v>
      </c>
      <c r="C6" s="7" t="n">
        <v>28</v>
      </c>
      <c r="D6" s="7" t="n">
        <v>38</v>
      </c>
    </row>
    <row r="7" customFormat="false" ht="15" hidden="false" customHeight="false" outlineLevel="0" collapsed="false">
      <c r="A7" s="5" t="s">
        <v>9</v>
      </c>
      <c r="B7" s="6" t="s">
        <v>10</v>
      </c>
      <c r="C7" s="7" t="n">
        <v>12</v>
      </c>
      <c r="D7" s="7" t="n">
        <v>20</v>
      </c>
    </row>
    <row r="8" customFormat="false" ht="15" hidden="false" customHeight="false" outlineLevel="0" collapsed="false">
      <c r="A8" s="5" t="s">
        <v>11</v>
      </c>
      <c r="B8" s="6" t="s">
        <v>12</v>
      </c>
      <c r="C8" s="7" t="n">
        <v>2</v>
      </c>
      <c r="D8" s="7" t="n">
        <v>5</v>
      </c>
    </row>
    <row r="10" customFormat="false" ht="36" hidden="false" customHeight="true" outlineLevel="0" collapsed="false">
      <c r="A10" s="4" t="s">
        <v>13</v>
      </c>
      <c r="B10" s="4" t="s">
        <v>14</v>
      </c>
      <c r="C10" s="4" t="s">
        <v>15</v>
      </c>
      <c r="D10" s="4" t="s">
        <v>16</v>
      </c>
      <c r="E10" s="4" t="s">
        <v>8</v>
      </c>
      <c r="F10" s="4" t="s">
        <v>10</v>
      </c>
      <c r="G10" s="4" t="s">
        <v>17</v>
      </c>
      <c r="H10" s="4" t="s">
        <v>18</v>
      </c>
    </row>
    <row r="11" customFormat="false" ht="15" hidden="false" customHeight="false" outlineLevel="0" collapsed="false">
      <c r="A11" s="8" t="n">
        <v>1</v>
      </c>
      <c r="B11" s="8" t="n">
        <v>-1</v>
      </c>
      <c r="C11" s="8" t="n">
        <v>-1</v>
      </c>
      <c r="D11" s="8" t="n">
        <v>-1</v>
      </c>
      <c r="E11" s="8" t="n">
        <v>28</v>
      </c>
      <c r="F11" s="8" t="n">
        <v>12</v>
      </c>
      <c r="G11" s="8" t="n">
        <v>2</v>
      </c>
      <c r="H11" s="9" t="n">
        <v>30.4</v>
      </c>
    </row>
    <row r="12" customFormat="false" ht="15" hidden="false" customHeight="false" outlineLevel="0" collapsed="false">
      <c r="A12" s="8" t="n">
        <v>2</v>
      </c>
      <c r="B12" s="8" t="n">
        <v>-1</v>
      </c>
      <c r="C12" s="8" t="n">
        <v>-1</v>
      </c>
      <c r="D12" s="8" t="n">
        <v>1</v>
      </c>
      <c r="E12" s="8" t="n">
        <v>28</v>
      </c>
      <c r="F12" s="8" t="n">
        <v>12</v>
      </c>
      <c r="G12" s="8" t="n">
        <v>5</v>
      </c>
      <c r="H12" s="9" t="n">
        <v>31.7</v>
      </c>
    </row>
    <row r="13" customFormat="false" ht="15" hidden="false" customHeight="false" outlineLevel="0" collapsed="false">
      <c r="A13" s="8" t="n">
        <v>3</v>
      </c>
      <c r="B13" s="8" t="n">
        <v>-1</v>
      </c>
      <c r="C13" s="8" t="n">
        <v>1</v>
      </c>
      <c r="D13" s="8" t="n">
        <v>1</v>
      </c>
      <c r="E13" s="8" t="n">
        <v>28</v>
      </c>
      <c r="F13" s="8" t="n">
        <v>20</v>
      </c>
      <c r="G13" s="8" t="n">
        <v>5</v>
      </c>
      <c r="H13" s="9" t="n">
        <v>37.9</v>
      </c>
    </row>
    <row r="14" customFormat="false" ht="15" hidden="false" customHeight="false" outlineLevel="0" collapsed="false">
      <c r="A14" s="8" t="n">
        <v>4</v>
      </c>
      <c r="B14" s="8" t="n">
        <v>1</v>
      </c>
      <c r="C14" s="8" t="n">
        <v>-1</v>
      </c>
      <c r="D14" s="8" t="n">
        <v>1</v>
      </c>
      <c r="E14" s="8" t="n">
        <v>38</v>
      </c>
      <c r="F14" s="8" t="n">
        <v>12</v>
      </c>
      <c r="G14" s="8" t="n">
        <v>5</v>
      </c>
      <c r="H14" s="9" t="n">
        <v>48.4</v>
      </c>
    </row>
    <row r="15" customFormat="false" ht="15" hidden="false" customHeight="false" outlineLevel="0" collapsed="false">
      <c r="A15" s="8" t="n">
        <v>5</v>
      </c>
      <c r="B15" s="8" t="n">
        <v>1</v>
      </c>
      <c r="C15" s="8" t="n">
        <v>1</v>
      </c>
      <c r="D15" s="8" t="n">
        <v>1</v>
      </c>
      <c r="E15" s="8" t="n">
        <v>38</v>
      </c>
      <c r="F15" s="8" t="n">
        <v>20</v>
      </c>
      <c r="G15" s="8" t="n">
        <v>5</v>
      </c>
      <c r="H15" s="9" t="n">
        <v>55.3</v>
      </c>
    </row>
    <row r="16" customFormat="false" ht="15" hidden="false" customHeight="false" outlineLevel="0" collapsed="false">
      <c r="A16" s="8" t="n">
        <v>6</v>
      </c>
      <c r="B16" s="8" t="n">
        <v>-1</v>
      </c>
      <c r="C16" s="8" t="n">
        <v>-1</v>
      </c>
      <c r="D16" s="8" t="n">
        <v>1</v>
      </c>
      <c r="E16" s="8" t="n">
        <v>28</v>
      </c>
      <c r="F16" s="8" t="n">
        <v>12</v>
      </c>
      <c r="G16" s="8" t="n">
        <v>5</v>
      </c>
      <c r="H16" s="9" t="n">
        <v>32.1</v>
      </c>
    </row>
    <row r="17" customFormat="false" ht="15" hidden="false" customHeight="false" outlineLevel="0" collapsed="false">
      <c r="A17" s="8" t="n">
        <v>7</v>
      </c>
      <c r="B17" s="8" t="n">
        <v>1</v>
      </c>
      <c r="C17" s="8" t="n">
        <v>1</v>
      </c>
      <c r="D17" s="8" t="n">
        <v>-1</v>
      </c>
      <c r="E17" s="8" t="n">
        <v>38</v>
      </c>
      <c r="F17" s="8" t="n">
        <v>20</v>
      </c>
      <c r="G17" s="8" t="n">
        <v>2</v>
      </c>
      <c r="H17" s="9" t="n">
        <v>52.7</v>
      </c>
    </row>
    <row r="18" customFormat="false" ht="15" hidden="false" customHeight="false" outlineLevel="0" collapsed="false">
      <c r="A18" s="8" t="n">
        <v>8</v>
      </c>
      <c r="B18" s="8" t="n">
        <v>1</v>
      </c>
      <c r="C18" s="8" t="n">
        <v>-1</v>
      </c>
      <c r="D18" s="8" t="n">
        <v>-1</v>
      </c>
      <c r="E18" s="8" t="n">
        <v>38</v>
      </c>
      <c r="F18" s="8" t="n">
        <v>12</v>
      </c>
      <c r="G18" s="8" t="n">
        <v>2</v>
      </c>
      <c r="H18" s="9" t="n">
        <v>47.8</v>
      </c>
    </row>
    <row r="19" customFormat="false" ht="15" hidden="false" customHeight="false" outlineLevel="0" collapsed="false">
      <c r="A19" s="8" t="n">
        <v>9</v>
      </c>
      <c r="B19" s="8" t="n">
        <v>1</v>
      </c>
      <c r="C19" s="8" t="n">
        <v>-1</v>
      </c>
      <c r="D19" s="8" t="n">
        <v>-1</v>
      </c>
      <c r="E19" s="8" t="n">
        <v>38</v>
      </c>
      <c r="F19" s="8" t="n">
        <v>12</v>
      </c>
      <c r="G19" s="8" t="n">
        <v>2</v>
      </c>
      <c r="H19" s="9" t="n">
        <v>44.9</v>
      </c>
    </row>
    <row r="20" customFormat="false" ht="15" hidden="false" customHeight="false" outlineLevel="0" collapsed="false">
      <c r="A20" s="8" t="n">
        <v>10</v>
      </c>
      <c r="B20" s="8" t="n">
        <v>-1</v>
      </c>
      <c r="C20" s="8" t="n">
        <v>1</v>
      </c>
      <c r="D20" s="8" t="n">
        <v>-1</v>
      </c>
      <c r="E20" s="8" t="n">
        <v>28</v>
      </c>
      <c r="F20" s="8" t="n">
        <v>20</v>
      </c>
      <c r="G20" s="8" t="n">
        <v>2</v>
      </c>
      <c r="H20" s="9" t="n">
        <v>36</v>
      </c>
    </row>
    <row r="21" customFormat="false" ht="15" hidden="false" customHeight="false" outlineLevel="0" collapsed="false">
      <c r="A21" s="8" t="n">
        <v>11</v>
      </c>
      <c r="B21" s="8" t="n">
        <v>-1</v>
      </c>
      <c r="C21" s="8" t="n">
        <v>1</v>
      </c>
      <c r="D21" s="8" t="n">
        <v>1</v>
      </c>
      <c r="E21" s="8" t="n">
        <v>28</v>
      </c>
      <c r="F21" s="8" t="n">
        <v>20</v>
      </c>
      <c r="G21" s="8" t="n">
        <v>5</v>
      </c>
      <c r="H21" s="9" t="n">
        <v>37.3</v>
      </c>
    </row>
    <row r="22" customFormat="false" ht="15" hidden="false" customHeight="false" outlineLevel="0" collapsed="false">
      <c r="A22" s="8" t="n">
        <v>12</v>
      </c>
      <c r="B22" s="8" t="n">
        <v>-1</v>
      </c>
      <c r="C22" s="8" t="n">
        <v>1</v>
      </c>
      <c r="D22" s="8" t="n">
        <v>-1</v>
      </c>
      <c r="E22" s="8" t="n">
        <v>28</v>
      </c>
      <c r="F22" s="8" t="n">
        <v>20</v>
      </c>
      <c r="G22" s="8" t="n">
        <v>2</v>
      </c>
      <c r="H22" s="9" t="n">
        <v>37.5</v>
      </c>
    </row>
    <row r="23" customFormat="false" ht="15" hidden="false" customHeight="false" outlineLevel="0" collapsed="false">
      <c r="A23" s="8" t="n">
        <v>13</v>
      </c>
      <c r="B23" s="8" t="n">
        <v>1</v>
      </c>
      <c r="C23" s="8" t="n">
        <v>1</v>
      </c>
      <c r="D23" s="8" t="n">
        <v>-1</v>
      </c>
      <c r="E23" s="8" t="n">
        <v>38</v>
      </c>
      <c r="F23" s="8" t="n">
        <v>20</v>
      </c>
      <c r="G23" s="8" t="n">
        <v>2</v>
      </c>
      <c r="H23" s="9" t="n">
        <v>49.8</v>
      </c>
    </row>
    <row r="24" customFormat="false" ht="15" hidden="false" customHeight="false" outlineLevel="0" collapsed="false">
      <c r="A24" s="8" t="n">
        <v>14</v>
      </c>
      <c r="B24" s="8" t="n">
        <v>-1</v>
      </c>
      <c r="C24" s="8" t="n">
        <v>-1</v>
      </c>
      <c r="D24" s="8" t="n">
        <v>-1</v>
      </c>
      <c r="E24" s="8" t="n">
        <v>28</v>
      </c>
      <c r="F24" s="8" t="n">
        <v>12</v>
      </c>
      <c r="G24" s="8" t="n">
        <v>2</v>
      </c>
      <c r="H24" s="9" t="n">
        <v>33.6</v>
      </c>
    </row>
    <row r="25" customFormat="false" ht="15" hidden="false" customHeight="false" outlineLevel="0" collapsed="false">
      <c r="A25" s="8" t="n">
        <v>15</v>
      </c>
      <c r="B25" s="8" t="n">
        <v>1</v>
      </c>
      <c r="C25" s="8" t="n">
        <v>-1</v>
      </c>
      <c r="D25" s="8" t="n">
        <v>1</v>
      </c>
      <c r="E25" s="8" t="n">
        <v>38</v>
      </c>
      <c r="F25" s="8" t="n">
        <v>12</v>
      </c>
      <c r="G25" s="8" t="n">
        <v>5</v>
      </c>
      <c r="H25" s="9" t="n">
        <v>50.7</v>
      </c>
    </row>
    <row r="26" customFormat="false" ht="15" hidden="false" customHeight="false" outlineLevel="0" collapsed="false">
      <c r="A26" s="8" t="n">
        <v>16</v>
      </c>
      <c r="B26" s="8" t="n">
        <v>1</v>
      </c>
      <c r="C26" s="8" t="n">
        <v>1</v>
      </c>
      <c r="D26" s="8" t="n">
        <v>1</v>
      </c>
      <c r="E26" s="8" t="n">
        <v>38</v>
      </c>
      <c r="F26" s="8" t="n">
        <v>20</v>
      </c>
      <c r="G26" s="8" t="n">
        <v>5</v>
      </c>
      <c r="H26" s="9" t="n">
        <v>51.3</v>
      </c>
    </row>
    <row r="28" customFormat="false" ht="15" hidden="false" customHeight="false" outlineLevel="0" collapsed="false">
      <c r="A28" s="10" t="s">
        <v>19</v>
      </c>
      <c r="B28" s="10"/>
      <c r="C28" s="10"/>
      <c r="D28" s="10"/>
      <c r="E28" s="10"/>
      <c r="F28" s="10"/>
      <c r="G28" s="10"/>
      <c r="H28" s="10"/>
    </row>
  </sheetData>
  <mergeCells count="1"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6" min="5" style="0" width="16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31.5" hidden="false" customHeight="true" outlineLevel="0" collapsed="false">
      <c r="A4" s="4" t="s">
        <v>3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</row>
    <row r="5" customFormat="false" ht="15" hidden="false" customHeight="false" outlineLevel="0" collapsed="false">
      <c r="A5" s="11" t="s">
        <v>27</v>
      </c>
      <c r="B5" s="12" t="n">
        <f aca="false">AVERAGEIF('DOE Design &amp; Results'!$B$11:$B$26,-1,'DOE Design &amp; Results'!$H$11:$H$26)</f>
        <v>34.5625</v>
      </c>
      <c r="C5" s="12" t="n">
        <f aca="false">AVERAGEIF('DOE Design &amp; Results'!$B$11:$B$26,1,'DOE Design &amp; Results'!$H$11:$H$26)</f>
        <v>50.1125</v>
      </c>
      <c r="D5" s="12" t="n">
        <f aca="false">C5-B5</f>
        <v>15.55</v>
      </c>
      <c r="E5" s="12" t="n">
        <f aca="false">D5/2</f>
        <v>7.775</v>
      </c>
      <c r="F5" s="13" t="n">
        <f aca="false">ABS(D5)/SUMPRODUCT(ABS($D$5:$D$7))</f>
        <v>0.712485681557847</v>
      </c>
    </row>
    <row r="6" customFormat="false" ht="15" hidden="false" customHeight="false" outlineLevel="0" collapsed="false">
      <c r="A6" s="11" t="s">
        <v>28</v>
      </c>
      <c r="B6" s="12" t="n">
        <f aca="false">AVERAGEIF('DOE Design &amp; Results'!$C$11:$C$26,-1,'DOE Design &amp; Results'!$H$11:$H$26)</f>
        <v>39.95</v>
      </c>
      <c r="C6" s="12" t="n">
        <f aca="false">AVERAGEIF('DOE Design &amp; Results'!$C$11:$C$26,1,'DOE Design &amp; Results'!$H$11:$H$26)</f>
        <v>44.725</v>
      </c>
      <c r="D6" s="12" t="n">
        <f aca="false">C6-B6</f>
        <v>4.775</v>
      </c>
      <c r="E6" s="12" t="n">
        <f aca="false">D6/2</f>
        <v>2.3875</v>
      </c>
      <c r="F6" s="13" t="n">
        <f aca="false">ABS(D6)/SUMPRODUCT(ABS($D$5:$D$7))</f>
        <v>0.218785796105384</v>
      </c>
    </row>
    <row r="7" customFormat="false" ht="15" hidden="false" customHeight="false" outlineLevel="0" collapsed="false">
      <c r="A7" s="11" t="s">
        <v>29</v>
      </c>
      <c r="B7" s="12" t="n">
        <f aca="false">AVERAGEIF('DOE Design &amp; Results'!$D$11:$D$26,-1,'DOE Design &amp; Results'!$H$11:$H$26)</f>
        <v>41.5875</v>
      </c>
      <c r="C7" s="12" t="n">
        <f aca="false">AVERAGEIF('DOE Design &amp; Results'!$D$11:$D$26,1,'DOE Design &amp; Results'!$H$11:$H$26)</f>
        <v>43.0875</v>
      </c>
      <c r="D7" s="12" t="n">
        <f aca="false">C7-B7</f>
        <v>1.5</v>
      </c>
      <c r="E7" s="12" t="n">
        <f aca="false">D7/2</f>
        <v>0.75</v>
      </c>
      <c r="F7" s="13" t="n">
        <f aca="false">ABS(D7)/SUMPRODUCT(ABS($D$5:$D$7))</f>
        <v>0.0687285223367698</v>
      </c>
    </row>
    <row r="9" customFormat="false" ht="15" hidden="false" customHeight="false" outlineLevel="0" collapsed="false">
      <c r="A9" s="3" t="s">
        <v>30</v>
      </c>
      <c r="C9" s="14" t="n">
        <f aca="false">AVERAGE('DOE Design &amp; Results'!$H$11:$H$26)</f>
        <v>42.3375</v>
      </c>
    </row>
    <row r="11" customFormat="false" ht="15" hidden="false" customHeight="false" outlineLevel="0" collapsed="false">
      <c r="A11" s="10" t="s">
        <v>31</v>
      </c>
      <c r="B11" s="10"/>
      <c r="C11" s="10"/>
      <c r="D11" s="10"/>
      <c r="E11" s="10"/>
      <c r="F11" s="10"/>
    </row>
  </sheetData>
  <mergeCells count="1"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31.5" hidden="false" customHeight="true" outlineLevel="0" collapsed="false">
      <c r="A4" s="4" t="s">
        <v>3</v>
      </c>
      <c r="B4" s="4" t="s">
        <v>5</v>
      </c>
      <c r="C4" s="4" t="s">
        <v>6</v>
      </c>
      <c r="D4" s="4" t="s">
        <v>34</v>
      </c>
      <c r="E4" s="4" t="s">
        <v>35</v>
      </c>
      <c r="F4" s="4" t="s">
        <v>36</v>
      </c>
    </row>
    <row r="5" customFormat="false" ht="15" hidden="false" customHeight="false" outlineLevel="0" collapsed="false">
      <c r="A5" s="11" t="s">
        <v>27</v>
      </c>
      <c r="B5" s="15" t="n">
        <f aca="false">'DOE Design &amp; Results'!C6</f>
        <v>28</v>
      </c>
      <c r="C5" s="15" t="n">
        <f aca="false">'DOE Design &amp; Results'!D6</f>
        <v>38</v>
      </c>
      <c r="D5" s="16" t="n">
        <v>33</v>
      </c>
      <c r="E5" s="12" t="n">
        <f aca="false">-1+2*(D5-B5)/(C5-B5)</f>
        <v>0</v>
      </c>
      <c r="F5" s="12" t="n">
        <f aca="false">'Effect Analysis'!E5</f>
        <v>7.775</v>
      </c>
    </row>
    <row r="6" customFormat="false" ht="15" hidden="false" customHeight="false" outlineLevel="0" collapsed="false">
      <c r="A6" s="11" t="s">
        <v>28</v>
      </c>
      <c r="B6" s="15" t="n">
        <f aca="false">'DOE Design &amp; Results'!C7</f>
        <v>12</v>
      </c>
      <c r="C6" s="15" t="n">
        <f aca="false">'DOE Design &amp; Results'!D7</f>
        <v>20</v>
      </c>
      <c r="D6" s="16" t="n">
        <v>16</v>
      </c>
      <c r="E6" s="12" t="n">
        <f aca="false">-1+2*(D6-B6)/(C6-B6)</f>
        <v>0</v>
      </c>
      <c r="F6" s="12" t="n">
        <f aca="false">'Effect Analysis'!E6</f>
        <v>2.3875</v>
      </c>
    </row>
    <row r="7" customFormat="false" ht="15" hidden="false" customHeight="false" outlineLevel="0" collapsed="false">
      <c r="A7" s="11" t="s">
        <v>29</v>
      </c>
      <c r="B7" s="15" t="n">
        <f aca="false">'DOE Design &amp; Results'!C8</f>
        <v>2</v>
      </c>
      <c r="C7" s="15" t="n">
        <f aca="false">'DOE Design &amp; Results'!D8</f>
        <v>5</v>
      </c>
      <c r="D7" s="16" t="n">
        <v>3.5</v>
      </c>
      <c r="E7" s="12" t="n">
        <f aca="false">-1+2*(D7-B7)/(C7-B7)</f>
        <v>0</v>
      </c>
      <c r="F7" s="12" t="n">
        <f aca="false">'Effect Analysis'!E7</f>
        <v>0.75</v>
      </c>
    </row>
    <row r="9" customFormat="false" ht="15" hidden="false" customHeight="false" outlineLevel="0" collapsed="false">
      <c r="A9" s="3" t="s">
        <v>37</v>
      </c>
      <c r="D9" s="17" t="n">
        <f aca="false">'Effect Analysis'!C9+SUMPRODUCT(E5:E7,F5:F7)</f>
        <v>42.3375</v>
      </c>
    </row>
    <row r="11" customFormat="false" ht="15" hidden="false" customHeight="false" outlineLevel="0" collapsed="false">
      <c r="A11" s="10" t="s">
        <v>38</v>
      </c>
      <c r="B11" s="10"/>
      <c r="C11" s="10"/>
      <c r="D11" s="10"/>
      <c r="E11" s="10"/>
      <c r="F11" s="10"/>
    </row>
  </sheetData>
  <mergeCells count="1"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55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31.5" hidden="false" customHeight="true" outlineLevel="0" collapsed="false">
      <c r="A4" s="4" t="s">
        <v>41</v>
      </c>
      <c r="B4" s="4" t="s">
        <v>42</v>
      </c>
      <c r="C4" s="4" t="s">
        <v>43</v>
      </c>
    </row>
    <row r="5" customFormat="false" ht="67.5" hidden="false" customHeight="true" outlineLevel="0" collapsed="false">
      <c r="A5" s="8" t="s">
        <v>44</v>
      </c>
      <c r="B5" s="18" t="s">
        <v>45</v>
      </c>
      <c r="C5" s="18" t="s">
        <v>46</v>
      </c>
    </row>
    <row r="6" customFormat="false" ht="67.5" hidden="false" customHeight="true" outlineLevel="0" collapsed="false">
      <c r="A6" s="8" t="s">
        <v>47</v>
      </c>
      <c r="B6" s="18" t="s">
        <v>48</v>
      </c>
      <c r="C6" s="18" t="s">
        <v>49</v>
      </c>
    </row>
    <row r="7" customFormat="false" ht="67.5" hidden="false" customHeight="true" outlineLevel="0" collapsed="false">
      <c r="A7" s="8" t="s">
        <v>50</v>
      </c>
      <c r="B7" s="18" t="s">
        <v>51</v>
      </c>
      <c r="C7" s="18" t="s">
        <v>52</v>
      </c>
    </row>
    <row r="8" customFormat="false" ht="67.5" hidden="false" customHeight="true" outlineLevel="0" collapsed="false">
      <c r="A8" s="8" t="s">
        <v>53</v>
      </c>
      <c r="B8" s="18" t="s">
        <v>54</v>
      </c>
      <c r="C8" s="18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2026-09-27T18:15:50Z</dcterms:created>
  <dc:creator>openpyxl</dc:creator>
  <dc:description/>
  <dc:language>en-US</dc:language>
  <cp:lastModifiedBy/>
  <dcterms:modified xsi:type="dcterms:W3CDTF">2026-09-27T23:46:07Z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