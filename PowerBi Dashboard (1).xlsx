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jayPerepa\Downloads\"/>
    </mc:Choice>
  </mc:AlternateContent>
  <xr:revisionPtr revIDLastSave="0" documentId="13_ncr:1_{3BFCA53F-31D0-499D-A233-D9156993EFA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8" sheetId="9" r:id="rId1"/>
    <sheet name="Sheet4" sheetId="13" r:id="rId2"/>
    <sheet name="Sheet5" sheetId="14" r:id="rId3"/>
    <sheet name="Revenue Data" sheetId="2" r:id="rId4"/>
    <sheet name="Sheet3" sheetId="12" r:id="rId5"/>
    <sheet name="Sheet2" sheetId="11" r:id="rId6"/>
    <sheet name="Sheet1" sheetId="10" r:id="rId7"/>
    <sheet name="Bad DAta" sheetId="4" r:id="rId8"/>
  </sheets>
  <calcPr calcId="191029"/>
  <pivotCaches>
    <pivotCache cacheId="2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02" i="2" l="1"/>
  <c r="H802" i="2"/>
  <c r="H801" i="2"/>
  <c r="I801" i="2"/>
  <c r="H800" i="2" a="1"/>
  <c r="I800" i="2"/>
  <c r="H799" i="2"/>
  <c r="I799" i="2"/>
  <c r="H796" i="2"/>
  <c r="H798" i="2"/>
  <c r="I798" i="2"/>
  <c r="H797" i="2"/>
  <c r="I797" i="2"/>
  <c r="I796" i="2"/>
  <c r="K12" i="2"/>
  <c r="I795" i="2"/>
  <c r="H795" i="2"/>
  <c r="I794" i="2"/>
  <c r="H794" i="2"/>
  <c r="I793" i="2"/>
  <c r="I792" i="2"/>
  <c r="I791" i="2"/>
  <c r="I790" i="2"/>
  <c r="I789" i="2"/>
  <c r="I788" i="2"/>
  <c r="H788" i="2"/>
  <c r="I787" i="2"/>
  <c r="I786" i="2"/>
  <c r="I785" i="2"/>
  <c r="H785" i="2"/>
  <c r="C5" i="14"/>
  <c r="C6" i="14"/>
  <c r="C7" i="14"/>
  <c r="C8" i="14"/>
  <c r="C9" i="14"/>
  <c r="C10" i="14"/>
  <c r="C11" i="14"/>
  <c r="C12" i="14"/>
  <c r="C13" i="14"/>
  <c r="C4" i="14"/>
  <c r="I784" i="2"/>
  <c r="H784" i="2"/>
  <c r="H783" i="2"/>
  <c r="I783" i="2"/>
  <c r="I782" i="2"/>
  <c r="I781" i="2"/>
  <c r="I780" i="2"/>
  <c r="I779" i="2"/>
  <c r="I778" i="2"/>
  <c r="I777" i="2"/>
  <c r="H777" i="2"/>
  <c r="I776" i="2"/>
  <c r="I775" i="2"/>
  <c r="I774" i="2"/>
  <c r="H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H517" i="2"/>
  <c r="I517" i="2"/>
  <c r="I516" i="2"/>
  <c r="I538" i="2"/>
  <c r="I537" i="2"/>
  <c r="I536" i="2"/>
  <c r="H536" i="2"/>
  <c r="H533" i="2"/>
  <c r="I535" i="2"/>
  <c r="I534" i="2"/>
  <c r="I533" i="2"/>
  <c r="I532" i="2"/>
  <c r="I531" i="2"/>
  <c r="F7" i="10" a="1"/>
  <c r="V8" i="10" a="1"/>
  <c r="I530" i="2"/>
  <c r="I529" i="2"/>
  <c r="I525" i="2"/>
  <c r="I526" i="2"/>
  <c r="I528" i="2"/>
  <c r="I539" i="2"/>
  <c r="I540" i="2"/>
  <c r="I527" i="2"/>
  <c r="H235" i="2"/>
  <c r="K8" i="2" l="1" a="1"/>
  <c r="I504" i="2" l="1"/>
  <c r="I505" i="2"/>
  <c r="I506" i="2"/>
  <c r="I522" i="2"/>
  <c r="I519" i="2"/>
  <c r="I507" i="2"/>
  <c r="I493" i="2"/>
  <c r="I490" i="2"/>
  <c r="I508" i="2"/>
  <c r="I509" i="2"/>
  <c r="I510" i="2"/>
  <c r="I511" i="2"/>
  <c r="I512" i="2"/>
  <c r="I523" i="2"/>
  <c r="I520" i="2"/>
  <c r="I513" i="2"/>
  <c r="I494" i="2"/>
  <c r="I491" i="2"/>
  <c r="I514" i="2"/>
  <c r="I515" i="2"/>
  <c r="I503" i="2" l="1"/>
  <c r="I502" i="2"/>
  <c r="I501" i="2"/>
  <c r="I500" i="2"/>
  <c r="I499" i="2"/>
  <c r="I489" i="2"/>
  <c r="I492" i="2"/>
  <c r="I498" i="2"/>
  <c r="I518" i="2"/>
  <c r="I521" i="2"/>
  <c r="I524" i="2"/>
  <c r="I488" i="2"/>
  <c r="I497" i="2"/>
  <c r="I496" i="2"/>
  <c r="I495" i="2"/>
  <c r="I235" i="2" l="1"/>
  <c r="I231" i="2"/>
  <c r="I232" i="2"/>
  <c r="I229" i="2"/>
  <c r="I237" i="2"/>
  <c r="I222" i="2"/>
  <c r="I215" i="2"/>
  <c r="I208" i="2"/>
  <c r="I153" i="2"/>
  <c r="I146" i="2"/>
  <c r="I139" i="2"/>
  <c r="I138" i="2"/>
  <c r="I137" i="2"/>
  <c r="I136" i="2"/>
  <c r="I135" i="2"/>
  <c r="I134" i="2"/>
  <c r="I133" i="2"/>
  <c r="I132" i="2"/>
  <c r="I130" i="2"/>
  <c r="I131" i="2"/>
  <c r="I129" i="2"/>
  <c r="I128" i="2"/>
  <c r="I127" i="2"/>
  <c r="I126" i="2"/>
  <c r="I124" i="2"/>
  <c r="I125" i="2"/>
  <c r="I123" i="2"/>
  <c r="I122" i="2"/>
  <c r="I121" i="2"/>
  <c r="I120" i="2"/>
  <c r="I118" i="2"/>
  <c r="I119" i="2"/>
  <c r="I117" i="2"/>
  <c r="I116" i="2"/>
  <c r="I114" i="2"/>
  <c r="I115" i="2"/>
  <c r="I112" i="2"/>
  <c r="I113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8" i="2"/>
  <c r="I99" i="2"/>
  <c r="I97" i="2"/>
  <c r="I96" i="2"/>
  <c r="I95" i="2"/>
  <c r="I94" i="2"/>
  <c r="I92" i="2"/>
  <c r="I93" i="2"/>
  <c r="I91" i="2"/>
  <c r="I89" i="2"/>
  <c r="I90" i="2"/>
  <c r="I88" i="2"/>
  <c r="I87" i="2"/>
  <c r="I85" i="2"/>
  <c r="I86" i="2"/>
  <c r="I84" i="2"/>
  <c r="I83" i="2"/>
  <c r="I82" i="2"/>
  <c r="I81" i="2"/>
  <c r="I80" i="2"/>
  <c r="I77" i="2"/>
  <c r="I78" i="2"/>
  <c r="I79" i="2"/>
  <c r="I76" i="2"/>
  <c r="I75" i="2"/>
  <c r="I74" i="2"/>
  <c r="I73" i="2"/>
  <c r="I72" i="2"/>
  <c r="I71" i="2"/>
  <c r="I68" i="2"/>
  <c r="I69" i="2"/>
  <c r="I70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49" i="2"/>
  <c r="I50" i="2"/>
  <c r="I48" i="2"/>
  <c r="I47" i="2"/>
  <c r="I46" i="2"/>
  <c r="I45" i="2"/>
  <c r="I43" i="2"/>
  <c r="I44" i="2"/>
  <c r="I42" i="2"/>
  <c r="I41" i="2"/>
  <c r="I40" i="2"/>
  <c r="I38" i="2"/>
  <c r="I39" i="2"/>
  <c r="I37" i="2"/>
  <c r="I36" i="2"/>
  <c r="I35" i="2"/>
  <c r="I34" i="2"/>
  <c r="I33" i="2"/>
  <c r="I32" i="2"/>
  <c r="I31" i="2"/>
  <c r="I30" i="2"/>
  <c r="I29" i="2"/>
  <c r="I28" i="2"/>
  <c r="I27" i="2"/>
  <c r="I24" i="2"/>
  <c r="I25" i="2"/>
  <c r="I26" i="2"/>
  <c r="I9" i="2"/>
  <c r="I10" i="2"/>
  <c r="I7" i="2"/>
  <c r="I2" i="2"/>
  <c r="I3" i="2"/>
  <c r="I4" i="2"/>
  <c r="I11" i="2"/>
  <c r="I12" i="2"/>
  <c r="I13" i="2"/>
  <c r="I14" i="2"/>
  <c r="I15" i="2"/>
  <c r="I8" i="2"/>
  <c r="I5" i="2"/>
  <c r="I6" i="2"/>
  <c r="I16" i="2"/>
  <c r="I17" i="2"/>
  <c r="I18" i="2"/>
  <c r="I19" i="2"/>
  <c r="I20" i="2"/>
  <c r="I21" i="2"/>
  <c r="I22" i="2"/>
  <c r="I23" i="2"/>
  <c r="I236" i="2"/>
  <c r="I233" i="2"/>
  <c r="I234" i="2"/>
  <c r="I230" i="2"/>
  <c r="I238" i="2"/>
  <c r="I223" i="2"/>
  <c r="I216" i="2"/>
  <c r="I209" i="2"/>
  <c r="I154" i="2"/>
  <c r="I147" i="2"/>
  <c r="I140" i="2"/>
  <c r="I155" i="2"/>
  <c r="I156" i="2"/>
  <c r="I157" i="2"/>
  <c r="I158" i="2"/>
  <c r="I159" i="2"/>
  <c r="I160" i="2"/>
  <c r="I161" i="2"/>
  <c r="I162" i="2"/>
  <c r="I163" i="2"/>
  <c r="I239" i="2"/>
  <c r="I224" i="2"/>
  <c r="I217" i="2"/>
  <c r="I210" i="2"/>
  <c r="I164" i="2"/>
  <c r="I148" i="2"/>
  <c r="I141" i="2"/>
  <c r="I165" i="2"/>
  <c r="I166" i="2"/>
  <c r="I167" i="2"/>
  <c r="I168" i="2"/>
  <c r="I169" i="2"/>
  <c r="I170" i="2"/>
  <c r="I171" i="2"/>
  <c r="I172" i="2"/>
  <c r="I240" i="2"/>
  <c r="I225" i="2"/>
  <c r="I218" i="2"/>
  <c r="I211" i="2"/>
  <c r="I173" i="2"/>
  <c r="I149" i="2"/>
  <c r="I142" i="2"/>
  <c r="I174" i="2"/>
  <c r="I175" i="2"/>
  <c r="I176" i="2"/>
  <c r="I177" i="2"/>
  <c r="I178" i="2"/>
  <c r="I179" i="2"/>
  <c r="I180" i="2"/>
  <c r="I181" i="2"/>
  <c r="I241" i="2"/>
  <c r="I226" i="2"/>
  <c r="I219" i="2"/>
  <c r="I212" i="2"/>
  <c r="I182" i="2"/>
  <c r="I150" i="2"/>
  <c r="I143" i="2"/>
  <c r="I183" i="2"/>
  <c r="I184" i="2"/>
  <c r="I185" i="2"/>
  <c r="I186" i="2"/>
  <c r="I187" i="2"/>
  <c r="I188" i="2"/>
  <c r="I189" i="2"/>
  <c r="I190" i="2"/>
  <c r="I242" i="2"/>
  <c r="I227" i="2"/>
  <c r="I220" i="2"/>
  <c r="I213" i="2"/>
  <c r="I191" i="2"/>
  <c r="I151" i="2"/>
  <c r="I144" i="2"/>
  <c r="I192" i="2"/>
  <c r="I193" i="2"/>
  <c r="I194" i="2"/>
  <c r="I195" i="2"/>
  <c r="I196" i="2"/>
  <c r="I197" i="2"/>
  <c r="I198" i="2"/>
  <c r="I199" i="2"/>
  <c r="I243" i="2"/>
  <c r="I228" i="2"/>
  <c r="I221" i="2"/>
  <c r="I214" i="2"/>
  <c r="I200" i="2"/>
  <c r="I152" i="2"/>
  <c r="I145" i="2"/>
  <c r="I201" i="2"/>
  <c r="I202" i="2"/>
  <c r="I203" i="2"/>
  <c r="I204" i="2"/>
  <c r="I205" i="2"/>
  <c r="I206" i="2"/>
  <c r="I207" i="2"/>
  <c r="I402" i="2"/>
  <c r="I486" i="2"/>
  <c r="I482" i="2"/>
  <c r="I483" i="2"/>
  <c r="I480" i="2"/>
  <c r="I244" i="2"/>
  <c r="I473" i="2"/>
  <c r="I466" i="2"/>
  <c r="I459" i="2"/>
  <c r="I403" i="2"/>
  <c r="I395" i="2"/>
  <c r="I388" i="2"/>
  <c r="I387" i="2"/>
  <c r="I386" i="2"/>
  <c r="I385" i="2"/>
  <c r="I384" i="2"/>
  <c r="I383" i="2"/>
  <c r="I382" i="2"/>
  <c r="I381" i="2"/>
  <c r="I379" i="2"/>
  <c r="I380" i="2"/>
  <c r="I378" i="2"/>
  <c r="I377" i="2"/>
  <c r="I376" i="2"/>
  <c r="I375" i="2"/>
  <c r="I373" i="2"/>
  <c r="I374" i="2"/>
  <c r="I372" i="2"/>
  <c r="I371" i="2"/>
  <c r="I370" i="2"/>
  <c r="I369" i="2"/>
  <c r="I367" i="2"/>
  <c r="I368" i="2"/>
  <c r="I366" i="2"/>
  <c r="I365" i="2"/>
  <c r="I363" i="2"/>
  <c r="I364" i="2"/>
  <c r="I361" i="2"/>
  <c r="I362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7" i="2"/>
  <c r="I348" i="2"/>
  <c r="I346" i="2"/>
  <c r="I345" i="2"/>
  <c r="I344" i="2"/>
  <c r="I343" i="2"/>
  <c r="I341" i="2"/>
  <c r="I342" i="2"/>
  <c r="I340" i="2"/>
  <c r="I338" i="2"/>
  <c r="I339" i="2"/>
  <c r="I337" i="2"/>
  <c r="I336" i="2"/>
  <c r="I334" i="2"/>
  <c r="I335" i="2"/>
  <c r="I333" i="2"/>
  <c r="I332" i="2"/>
  <c r="I331" i="2"/>
  <c r="I330" i="2"/>
  <c r="I329" i="2"/>
  <c r="I326" i="2"/>
  <c r="I327" i="2"/>
  <c r="I328" i="2"/>
  <c r="I325" i="2"/>
  <c r="I324" i="2"/>
  <c r="I323" i="2"/>
  <c r="I322" i="2"/>
  <c r="I321" i="2"/>
  <c r="I320" i="2"/>
  <c r="I317" i="2"/>
  <c r="I318" i="2"/>
  <c r="I319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8" i="2"/>
  <c r="I299" i="2"/>
  <c r="I297" i="2"/>
  <c r="I296" i="2"/>
  <c r="I295" i="2"/>
  <c r="I294" i="2"/>
  <c r="I292" i="2"/>
  <c r="I293" i="2"/>
  <c r="I291" i="2"/>
  <c r="I290" i="2"/>
  <c r="I289" i="2"/>
  <c r="I287" i="2"/>
  <c r="I288" i="2"/>
  <c r="I286" i="2"/>
  <c r="I285" i="2"/>
  <c r="I284" i="2"/>
  <c r="I283" i="2"/>
  <c r="I282" i="2"/>
  <c r="I281" i="2"/>
  <c r="I280" i="2"/>
  <c r="I279" i="2"/>
  <c r="I278" i="2"/>
  <c r="I277" i="2"/>
  <c r="I276" i="2"/>
  <c r="I273" i="2"/>
  <c r="I274" i="2"/>
  <c r="I275" i="2"/>
  <c r="I258" i="2"/>
  <c r="I259" i="2"/>
  <c r="I256" i="2"/>
  <c r="I251" i="2"/>
  <c r="I252" i="2"/>
  <c r="I253" i="2"/>
  <c r="I260" i="2"/>
  <c r="I261" i="2"/>
  <c r="I262" i="2"/>
  <c r="I263" i="2"/>
  <c r="I264" i="2"/>
  <c r="I257" i="2"/>
  <c r="I254" i="2"/>
  <c r="I255" i="2"/>
  <c r="I265" i="2"/>
  <c r="I266" i="2"/>
  <c r="I267" i="2"/>
  <c r="I268" i="2"/>
  <c r="I269" i="2"/>
  <c r="I270" i="2"/>
  <c r="I271" i="2"/>
  <c r="I272" i="2"/>
  <c r="I487" i="2"/>
  <c r="I484" i="2"/>
  <c r="I485" i="2"/>
  <c r="I481" i="2"/>
  <c r="I245" i="2"/>
  <c r="I474" i="2"/>
  <c r="I467" i="2"/>
  <c r="I460" i="2"/>
  <c r="I404" i="2"/>
  <c r="I396" i="2"/>
  <c r="I389" i="2"/>
  <c r="I405" i="2"/>
  <c r="I406" i="2"/>
  <c r="I407" i="2"/>
  <c r="I408" i="2"/>
  <c r="I409" i="2"/>
  <c r="I410" i="2"/>
  <c r="I411" i="2"/>
  <c r="I412" i="2"/>
  <c r="I413" i="2"/>
  <c r="I246" i="2"/>
  <c r="I475" i="2"/>
  <c r="I468" i="2"/>
  <c r="I461" i="2"/>
  <c r="I414" i="2"/>
  <c r="I397" i="2"/>
  <c r="I390" i="2"/>
  <c r="I415" i="2"/>
  <c r="I416" i="2"/>
  <c r="I417" i="2"/>
  <c r="I418" i="2"/>
  <c r="I419" i="2"/>
  <c r="I420" i="2"/>
  <c r="I421" i="2"/>
  <c r="I422" i="2"/>
  <c r="I247" i="2"/>
  <c r="I476" i="2"/>
  <c r="I469" i="2"/>
  <c r="I462" i="2"/>
  <c r="I423" i="2"/>
  <c r="I398" i="2"/>
  <c r="I391" i="2"/>
  <c r="I424" i="2"/>
  <c r="I425" i="2"/>
  <c r="I426" i="2"/>
  <c r="I427" i="2"/>
  <c r="I428" i="2"/>
  <c r="I429" i="2"/>
  <c r="I430" i="2"/>
  <c r="I431" i="2"/>
  <c r="I248" i="2"/>
  <c r="I477" i="2"/>
  <c r="I470" i="2"/>
  <c r="I463" i="2"/>
  <c r="I432" i="2"/>
  <c r="I399" i="2"/>
  <c r="I392" i="2"/>
  <c r="I433" i="2"/>
  <c r="I434" i="2"/>
  <c r="I435" i="2"/>
  <c r="I436" i="2"/>
  <c r="I437" i="2"/>
  <c r="I438" i="2"/>
  <c r="I439" i="2"/>
  <c r="I440" i="2"/>
  <c r="I249" i="2"/>
  <c r="I478" i="2"/>
  <c r="I471" i="2"/>
  <c r="I464" i="2"/>
  <c r="I441" i="2"/>
  <c r="I400" i="2"/>
  <c r="I393" i="2"/>
  <c r="I442" i="2"/>
  <c r="I443" i="2"/>
  <c r="I444" i="2"/>
  <c r="I445" i="2"/>
  <c r="I446" i="2"/>
  <c r="I447" i="2"/>
  <c r="I448" i="2"/>
  <c r="I449" i="2"/>
  <c r="I250" i="2"/>
  <c r="I479" i="2"/>
  <c r="I472" i="2"/>
  <c r="I465" i="2"/>
  <c r="I450" i="2"/>
  <c r="I401" i="2"/>
  <c r="I394" i="2"/>
  <c r="I451" i="2"/>
  <c r="I452" i="2"/>
  <c r="I453" i="2"/>
  <c r="I454" i="2"/>
  <c r="I455" i="2"/>
  <c r="I456" i="2"/>
  <c r="I457" i="2"/>
  <c r="I45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<sst xmlns="http://schemas.openxmlformats.org/spreadsheetml/2006/main" count="4164" uniqueCount="402">
  <si>
    <t>Registration No.</t>
  </si>
  <si>
    <t>Customer</t>
  </si>
  <si>
    <t>DOJ</t>
  </si>
  <si>
    <t>Stundent Name</t>
  </si>
  <si>
    <t>Department</t>
  </si>
  <si>
    <t>City</t>
  </si>
  <si>
    <t>Application</t>
  </si>
  <si>
    <t>Duration</t>
  </si>
  <si>
    <t>Customer Z</t>
  </si>
  <si>
    <t>Finance</t>
  </si>
  <si>
    <t>Kolkata</t>
  </si>
  <si>
    <t>Word</t>
  </si>
  <si>
    <t>Customer Y</t>
  </si>
  <si>
    <t>New Delhi</t>
  </si>
  <si>
    <t>Power</t>
  </si>
  <si>
    <t>Bengaluru</t>
  </si>
  <si>
    <t>Excel</t>
  </si>
  <si>
    <t>Customer X</t>
  </si>
  <si>
    <t>Nagpur</t>
  </si>
  <si>
    <t>PowerBI</t>
  </si>
  <si>
    <t>Pune</t>
  </si>
  <si>
    <t>VBA</t>
  </si>
  <si>
    <t>Customer W</t>
  </si>
  <si>
    <t>Outlook</t>
  </si>
  <si>
    <t>Chennai</t>
  </si>
  <si>
    <t>Office 365</t>
  </si>
  <si>
    <t>Customer V</t>
  </si>
  <si>
    <t>Customer U</t>
  </si>
  <si>
    <t>Customer T</t>
  </si>
  <si>
    <t>Customer S</t>
  </si>
  <si>
    <t>Hyderabad</t>
  </si>
  <si>
    <t>Customer R</t>
  </si>
  <si>
    <t>Customer Q</t>
  </si>
  <si>
    <t>HR</t>
  </si>
  <si>
    <t>Customer P</t>
  </si>
  <si>
    <t>Customer O</t>
  </si>
  <si>
    <t>Customer N</t>
  </si>
  <si>
    <t>Customer M</t>
  </si>
  <si>
    <t>Customer L</t>
  </si>
  <si>
    <t>Customer K</t>
  </si>
  <si>
    <t>Admin</t>
  </si>
  <si>
    <t>Customer J</t>
  </si>
  <si>
    <t>Customer I</t>
  </si>
  <si>
    <t>Customer H</t>
  </si>
  <si>
    <t>Customer G</t>
  </si>
  <si>
    <t>Customer F</t>
  </si>
  <si>
    <t>Customer E</t>
  </si>
  <si>
    <t>Customer D</t>
  </si>
  <si>
    <t>Customer C</t>
  </si>
  <si>
    <t>Customer BL</t>
  </si>
  <si>
    <t>Customer BK</t>
  </si>
  <si>
    <t>Customer BJ</t>
  </si>
  <si>
    <t>Customer BI</t>
  </si>
  <si>
    <t>Customer BH</t>
  </si>
  <si>
    <t>Customer BG</t>
  </si>
  <si>
    <t>Customer BF</t>
  </si>
  <si>
    <t>Customer BE</t>
  </si>
  <si>
    <t>Customer BD</t>
  </si>
  <si>
    <t>Customer BC</t>
  </si>
  <si>
    <t>Customer BB</t>
  </si>
  <si>
    <t>Customer BA</t>
  </si>
  <si>
    <t>Customer B</t>
  </si>
  <si>
    <t>Customer AZ</t>
  </si>
  <si>
    <t>Customer AY</t>
  </si>
  <si>
    <t>Customer AX</t>
  </si>
  <si>
    <t>Customer AW</t>
  </si>
  <si>
    <t>Customer AV</t>
  </si>
  <si>
    <t>Customer AU</t>
  </si>
  <si>
    <t>Customer AT</t>
  </si>
  <si>
    <t>Customer AS</t>
  </si>
  <si>
    <t>Customer AR</t>
  </si>
  <si>
    <t>Customer AQ</t>
  </si>
  <si>
    <t>Customer AP</t>
  </si>
  <si>
    <t>Customer AO</t>
  </si>
  <si>
    <t>Customer AN</t>
  </si>
  <si>
    <t>Customer AM</t>
  </si>
  <si>
    <t>Customer AL</t>
  </si>
  <si>
    <t>Customer AK</t>
  </si>
  <si>
    <t>Customer AJ</t>
  </si>
  <si>
    <t>Customer AI</t>
  </si>
  <si>
    <t>Customer AH</t>
  </si>
  <si>
    <t>Customer AG</t>
  </si>
  <si>
    <t>Customer AF</t>
  </si>
  <si>
    <t>Customer AE</t>
  </si>
  <si>
    <t>Customer AD</t>
  </si>
  <si>
    <t>Customer AC</t>
  </si>
  <si>
    <t>Customer AB</t>
  </si>
  <si>
    <t>Customer AA</t>
  </si>
  <si>
    <t>Customer A</t>
  </si>
  <si>
    <t>customer unique</t>
  </si>
  <si>
    <t>AMTZ1</t>
  </si>
  <si>
    <t>AMTZ2</t>
  </si>
  <si>
    <t>AMTZ3</t>
  </si>
  <si>
    <t>AMTZ4</t>
  </si>
  <si>
    <t>AMTZ5</t>
  </si>
  <si>
    <t>AMTZ6</t>
  </si>
  <si>
    <t>AMTZ7</t>
  </si>
  <si>
    <t>AMTZ8</t>
  </si>
  <si>
    <t>AMTZ9</t>
  </si>
  <si>
    <t>AMTZ10</t>
  </si>
  <si>
    <t>AMTZ11</t>
  </si>
  <si>
    <t>AMTZ12</t>
  </si>
  <si>
    <t>AMTZ13</t>
  </si>
  <si>
    <t>AMTZ14</t>
  </si>
  <si>
    <t>AMTZ15</t>
  </si>
  <si>
    <t>AMTZ16</t>
  </si>
  <si>
    <t>AMTZ17</t>
  </si>
  <si>
    <t>AMTZ18</t>
  </si>
  <si>
    <t>AMTZ19</t>
  </si>
  <si>
    <t>AMTZ20</t>
  </si>
  <si>
    <t>AMTZ21</t>
  </si>
  <si>
    <t>AMTZ22</t>
  </si>
  <si>
    <t>AMTZ23</t>
  </si>
  <si>
    <t>AMTZ24</t>
  </si>
  <si>
    <t>AMTZ25</t>
  </si>
  <si>
    <t>AMTZ26</t>
  </si>
  <si>
    <t>AMTZ27</t>
  </si>
  <si>
    <t>AMTZ28</t>
  </si>
  <si>
    <t>AMTZ29</t>
  </si>
  <si>
    <t>AMTZ30</t>
  </si>
  <si>
    <t>AMTZ31</t>
  </si>
  <si>
    <t>AMTZ32</t>
  </si>
  <si>
    <t>AMTZ33</t>
  </si>
  <si>
    <t>AMTZ34</t>
  </si>
  <si>
    <t>AMTZ35</t>
  </si>
  <si>
    <t>AMTZ36</t>
  </si>
  <si>
    <t>AMTZ37</t>
  </si>
  <si>
    <t>AMTZ38</t>
  </si>
  <si>
    <t>AMTZ39</t>
  </si>
  <si>
    <t>AMTZ40</t>
  </si>
  <si>
    <t>AMTZ41</t>
  </si>
  <si>
    <t>AMTZ42</t>
  </si>
  <si>
    <t>AMTZ43</t>
  </si>
  <si>
    <t>AMTZ44</t>
  </si>
  <si>
    <t>AMTZ45</t>
  </si>
  <si>
    <t>AMTZ46</t>
  </si>
  <si>
    <t>AMTZ47</t>
  </si>
  <si>
    <t>AMTZ48</t>
  </si>
  <si>
    <t>AMTZ49</t>
  </si>
  <si>
    <t>AMTZ50</t>
  </si>
  <si>
    <t>AMTZ51</t>
  </si>
  <si>
    <t>AMTZ52</t>
  </si>
  <si>
    <t>AMTZ53</t>
  </si>
  <si>
    <t>AMTZ54</t>
  </si>
  <si>
    <t>AMTZ55</t>
  </si>
  <si>
    <t>AMTZ56</t>
  </si>
  <si>
    <t>AMTZ57</t>
  </si>
  <si>
    <t>AMTZ58</t>
  </si>
  <si>
    <t>AMTZ59</t>
  </si>
  <si>
    <t>AMTZ60</t>
  </si>
  <si>
    <t>AMTZ61</t>
  </si>
  <si>
    <t>AMTZ62</t>
  </si>
  <si>
    <t>AMTZ63</t>
  </si>
  <si>
    <t>AMTZ64</t>
  </si>
  <si>
    <t>AMTZ65</t>
  </si>
  <si>
    <t>AMTZ66</t>
  </si>
  <si>
    <t>AMTZ67</t>
  </si>
  <si>
    <t>AMTZ68</t>
  </si>
  <si>
    <t>AMTZ69</t>
  </si>
  <si>
    <t>AMTZ70</t>
  </si>
  <si>
    <t>AMTZ71</t>
  </si>
  <si>
    <t>AMTZ72</t>
  </si>
  <si>
    <t>AMTZ73</t>
  </si>
  <si>
    <t>AMTZ74</t>
  </si>
  <si>
    <t>AMTZ75</t>
  </si>
  <si>
    <t>AMTZ76</t>
  </si>
  <si>
    <t>AMTZ77</t>
  </si>
  <si>
    <t>AMTZ78</t>
  </si>
  <si>
    <t>AMTZ79</t>
  </si>
  <si>
    <t>AMTZ80</t>
  </si>
  <si>
    <t>AMTZ81</t>
  </si>
  <si>
    <t>AMTZ82</t>
  </si>
  <si>
    <t>AMTZ83</t>
  </si>
  <si>
    <t>AMTZ84</t>
  </si>
  <si>
    <t>AMTZ85</t>
  </si>
  <si>
    <t>AMTZ86</t>
  </si>
  <si>
    <t>AMTZ87</t>
  </si>
  <si>
    <t>AMTZ88</t>
  </si>
  <si>
    <t>AMTZ89</t>
  </si>
  <si>
    <t>AMTZ90</t>
  </si>
  <si>
    <t>AMTZ91</t>
  </si>
  <si>
    <t>AMTZ92</t>
  </si>
  <si>
    <t>AMTZ93</t>
  </si>
  <si>
    <t>AMTZ94</t>
  </si>
  <si>
    <t>AMTZ95</t>
  </si>
  <si>
    <t>AMTZ96</t>
  </si>
  <si>
    <t>AMTZ97</t>
  </si>
  <si>
    <t>AMTZ98</t>
  </si>
  <si>
    <t>AMTZ99</t>
  </si>
  <si>
    <t>AMTZ100</t>
  </si>
  <si>
    <t>AMTZ101</t>
  </si>
  <si>
    <t>AMTZ102</t>
  </si>
  <si>
    <t>AMTZ103</t>
  </si>
  <si>
    <t>AMTZ104</t>
  </si>
  <si>
    <t>AMTZ105</t>
  </si>
  <si>
    <t>AMTZ106</t>
  </si>
  <si>
    <t>AMTZ107</t>
  </si>
  <si>
    <t>AMTZ108</t>
  </si>
  <si>
    <t>AMTZ109</t>
  </si>
  <si>
    <t>AMTZ110</t>
  </si>
  <si>
    <t>AMTZ111</t>
  </si>
  <si>
    <t>AMTZ112</t>
  </si>
  <si>
    <t>AMTZ113</t>
  </si>
  <si>
    <t>AMTZ114</t>
  </si>
  <si>
    <t>AMTZ115</t>
  </si>
  <si>
    <t>AMTZ116</t>
  </si>
  <si>
    <t>AMTZ117</t>
  </si>
  <si>
    <t>AMTZ118</t>
  </si>
  <si>
    <t>AMTZ119</t>
  </si>
  <si>
    <t>AMTZ120</t>
  </si>
  <si>
    <t>AMTZ121</t>
  </si>
  <si>
    <t>AMTZ122</t>
  </si>
  <si>
    <t>AMTZ123</t>
  </si>
  <si>
    <t>AMTZ124</t>
  </si>
  <si>
    <t>AMTZ125</t>
  </si>
  <si>
    <t>AMTZ126</t>
  </si>
  <si>
    <t>AMTZ127</t>
  </si>
  <si>
    <t>AMTZ128</t>
  </si>
  <si>
    <t>AMTZ135</t>
  </si>
  <si>
    <t>AMTZ136</t>
  </si>
  <si>
    <t>AMTZ137</t>
  </si>
  <si>
    <t>AMTZ138</t>
  </si>
  <si>
    <t>AMTZ139</t>
  </si>
  <si>
    <t>AMTZ140</t>
  </si>
  <si>
    <t>AMTZ141</t>
  </si>
  <si>
    <t>AMTZ142</t>
  </si>
  <si>
    <t>Product</t>
  </si>
  <si>
    <t>Target</t>
  </si>
  <si>
    <t>Ach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</si>
  <si>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</si>
  <si>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</si>
  <si>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</si>
  <si>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</si>
  <si>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</si>
  <si>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</si>
  <si>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</si>
  <si>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</si>
  <si>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</si>
  <si>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</si>
  <si>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</si>
  <si>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</si>
  <si>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</si>
  <si>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</si>
  <si>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</si>
  <si>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</si>
  <si>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</si>
  <si>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AMTZ143</t>
  </si>
  <si>
    <t>AMTZ144</t>
  </si>
  <si>
    <t>AMTZ145</t>
  </si>
  <si>
    <t>AMTZ146</t>
  </si>
  <si>
    <t>AMTZ147</t>
  </si>
  <si>
    <t>AMTZ148</t>
  </si>
  <si>
    <t>AMTZ149</t>
  </si>
  <si>
    <t>AMTZ150</t>
  </si>
  <si>
    <t>AMTZ151</t>
  </si>
  <si>
    <t>AMTZ152</t>
  </si>
  <si>
    <t>AMTZ153</t>
  </si>
  <si>
    <t>AMTZ154</t>
  </si>
  <si>
    <t>AMTZ155</t>
  </si>
  <si>
    <t>P18</t>
  </si>
  <si>
    <t>P19</t>
  </si>
  <si>
    <t>P20</t>
  </si>
  <si>
    <t>P21</t>
  </si>
  <si>
    <t>P22</t>
  </si>
  <si>
    <t>AMTZ156</t>
  </si>
  <si>
    <t>Vijay Perepa</t>
  </si>
  <si>
    <t>AMTZ157</t>
  </si>
  <si>
    <t>AMTZ158</t>
  </si>
  <si>
    <t>AMTZ159</t>
  </si>
  <si>
    <t>AMTZ160</t>
  </si>
  <si>
    <t>AMTZ161</t>
  </si>
  <si>
    <t>AMTZ162</t>
  </si>
  <si>
    <t>AMTZ163</t>
  </si>
  <si>
    <t>AMTZ164</t>
  </si>
  <si>
    <t>AMTZ165</t>
  </si>
  <si>
    <t>AMTZ166</t>
  </si>
  <si>
    <t>AMTZ167</t>
  </si>
  <si>
    <t>AMTZ168</t>
  </si>
  <si>
    <t>AMTZ169</t>
  </si>
  <si>
    <t>AMTZ170</t>
  </si>
  <si>
    <t>AMTZ171</t>
  </si>
  <si>
    <t>AMTZ172</t>
  </si>
  <si>
    <t>AMTZ173</t>
  </si>
  <si>
    <t>AMTZ174</t>
  </si>
  <si>
    <t>AMTZ175</t>
  </si>
  <si>
    <t>AMTZ176</t>
  </si>
  <si>
    <t>AMTZ177</t>
  </si>
  <si>
    <t>AMTZ178</t>
  </si>
  <si>
    <t>AMTZ179</t>
  </si>
  <si>
    <t>AMTZ180</t>
  </si>
  <si>
    <t>AMTZ181</t>
  </si>
  <si>
    <t>AMTZ182</t>
  </si>
  <si>
    <t>AMTZ183</t>
  </si>
  <si>
    <t>AMTZ184</t>
  </si>
  <si>
    <t>AMTZ185</t>
  </si>
  <si>
    <t>AMTZ186</t>
  </si>
  <si>
    <t>AMTZ187</t>
  </si>
  <si>
    <t>AMTZ188</t>
  </si>
  <si>
    <t>AMTZ189</t>
  </si>
  <si>
    <t>AMTZ190</t>
  </si>
  <si>
    <t>AMTZ191</t>
  </si>
  <si>
    <t>AMTZ192</t>
  </si>
  <si>
    <t>AMTZ193</t>
  </si>
  <si>
    <t>AMTZ194</t>
  </si>
  <si>
    <t>AMTZ195</t>
  </si>
  <si>
    <t>AMTZ196</t>
  </si>
  <si>
    <t>AMTZ197</t>
  </si>
  <si>
    <t>AMTZ198</t>
  </si>
  <si>
    <t>AMTZ199</t>
  </si>
  <si>
    <t>AMTZ200</t>
  </si>
  <si>
    <t>AMTZ201</t>
  </si>
  <si>
    <t>AMTZ202</t>
  </si>
  <si>
    <t>AMTZ203</t>
  </si>
  <si>
    <t>AMTZ204</t>
  </si>
  <si>
    <t>AMTZ205</t>
  </si>
  <si>
    <t>AMTZ206</t>
  </si>
  <si>
    <t>AMTZ207</t>
  </si>
  <si>
    <t>AMTZ208</t>
  </si>
  <si>
    <t>AMTZ209</t>
  </si>
  <si>
    <t>AMTZ210</t>
  </si>
  <si>
    <t>AMTZ211</t>
  </si>
  <si>
    <t>AMTZ212</t>
  </si>
  <si>
    <t>AMTZ213</t>
  </si>
  <si>
    <t>AMTZ214</t>
  </si>
  <si>
    <t>AMTZ215</t>
  </si>
  <si>
    <t>AMTZ216</t>
  </si>
  <si>
    <t>AMTZ217</t>
  </si>
  <si>
    <t>AMTZ218</t>
  </si>
  <si>
    <t>AMTZ219</t>
  </si>
  <si>
    <t>AMTZ220</t>
  </si>
  <si>
    <t>AMTZ221</t>
  </si>
  <si>
    <t>AMTZ222</t>
  </si>
  <si>
    <t>AMTZ223</t>
  </si>
  <si>
    <t>AMTZ224</t>
  </si>
  <si>
    <t>AMTZ225</t>
  </si>
  <si>
    <t>AMTZ226</t>
  </si>
  <si>
    <t>AMTZ227</t>
  </si>
  <si>
    <t>AMTZ228</t>
  </si>
  <si>
    <t>AMTZ229</t>
  </si>
  <si>
    <t>AMTZ230</t>
  </si>
  <si>
    <t>AMTZ231</t>
  </si>
  <si>
    <t>Sales Rep</t>
  </si>
  <si>
    <t>AMTZ232</t>
  </si>
  <si>
    <t>AMTZ233</t>
  </si>
  <si>
    <t>AMTZ234</t>
  </si>
  <si>
    <t>AMTZ235</t>
  </si>
  <si>
    <t>AMTZ236</t>
  </si>
  <si>
    <t>AMTZ237</t>
  </si>
  <si>
    <t>Another</t>
  </si>
  <si>
    <t>Some Number</t>
  </si>
  <si>
    <t>PerepaEdu</t>
  </si>
  <si>
    <t>Row Labels</t>
  </si>
  <si>
    <t>Grand Total</t>
  </si>
  <si>
    <t>D:\Power BI Training Modules\Power BI Practice Files\PowerBi Dashboard.xlsx</t>
  </si>
  <si>
    <t>AMTZ1234</t>
  </si>
  <si>
    <t>Row Context</t>
  </si>
  <si>
    <t>Filter Context</t>
  </si>
  <si>
    <t>Measure</t>
  </si>
  <si>
    <t>Column</t>
  </si>
  <si>
    <t>how to create a quick report using Dax</t>
  </si>
  <si>
    <t>ETL ( Extract, Transformation and Loading to the Model</t>
  </si>
  <si>
    <t>The Report Techniques</t>
  </si>
  <si>
    <t>Creating Dax with Logics</t>
  </si>
  <si>
    <t>creating A complete report</t>
  </si>
  <si>
    <t>Paginated Reports, Mobile Reports and KPIs in Report Server</t>
  </si>
  <si>
    <t>Using  - Bookmarks</t>
  </si>
  <si>
    <t>Using  - Drillthru</t>
  </si>
  <si>
    <t>Using  - CustomTooltips</t>
  </si>
  <si>
    <t>Column1</t>
  </si>
  <si>
    <t>Column2</t>
  </si>
  <si>
    <t>Column3</t>
  </si>
  <si>
    <t>Q1</t>
  </si>
  <si>
    <t>Q2</t>
  </si>
  <si>
    <t>Q3</t>
  </si>
  <si>
    <t>Q4</t>
  </si>
  <si>
    <t>CTLR E</t>
  </si>
  <si>
    <t>DELL</t>
  </si>
  <si>
    <t>Hexa</t>
  </si>
  <si>
    <t>Hexa2</t>
  </si>
  <si>
    <t>Hexa3</t>
  </si>
  <si>
    <t>ESI</t>
  </si>
  <si>
    <t>Kanpur</t>
  </si>
  <si>
    <t>Any Text Here</t>
  </si>
  <si>
    <t xml:space="preserve"> Finance     </t>
  </si>
  <si>
    <t xml:space="preserve">     Fin</t>
  </si>
  <si>
    <t xml:space="preserve">      FInAncE     </t>
  </si>
  <si>
    <t xml:space="preserve">   FInaNCe</t>
  </si>
  <si>
    <t xml:space="preserve">         Finance</t>
  </si>
  <si>
    <t xml:space="preserve">Finance          </t>
  </si>
  <si>
    <t xml:space="preserve">aDmin    </t>
  </si>
  <si>
    <t>Vijay ;ashdf;aghs;dfkl</t>
  </si>
  <si>
    <t>(blank)</t>
  </si>
  <si>
    <t>IndusInd</t>
  </si>
  <si>
    <t>hR</t>
  </si>
  <si>
    <t>Rieter</t>
  </si>
  <si>
    <t>mArkEting</t>
  </si>
  <si>
    <t>iT</t>
  </si>
  <si>
    <t>Raman Perepa</t>
  </si>
  <si>
    <t>soFtWear</t>
  </si>
  <si>
    <t>Air India</t>
  </si>
  <si>
    <t>oTheR Dept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</si>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</sst>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tudent&quot;0"/>
    <numFmt numFmtId="165" formatCode="dddd\,\ mmmm\ d\,\ yyyy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/>
    <xf numFmtId="165" fontId="4" fillId="0" borderId="0" xfId="0" applyNumberFormat="1" applyFont="1" applyAlignment="1"/>
    <xf numFmtId="1" fontId="4" fillId="0" borderId="0" xfId="0" applyNumberFormat="1" applyFont="1" applyAlignment="1"/>
    <xf numFmtId="164" fontId="4" fillId="0" borderId="0" xfId="0" applyNumberFormat="1" applyFont="1" applyAlignment="1"/>
    <xf numFmtId="0" fontId="3" fillId="0" borderId="0" xfId="0" applyFont="1">
      <alignment vertical="center"/>
    </xf>
    <xf numFmtId="0" fontId="7" fillId="0" borderId="0" xfId="0" applyFont="1" applyAlignment="1"/>
    <xf numFmtId="0" fontId="0" fillId="0" borderId="0" xfId="0" pivotButton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2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Fill="1" applyAlignment="1" applyProtection="1"/>
    <xf numFmtId="165" fontId="4" fillId="0" borderId="0" xfId="0" applyNumberFormat="1" applyFont="1" applyFill="1" applyAlignment="1" applyProtection="1"/>
    <xf numFmtId="1" fontId="4" fillId="0" borderId="0" xfId="0" applyNumberFormat="1" applyFont="1" applyFill="1" applyAlignment="1" applyProtecti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dd\,\ mmmm\ d\,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112.524386111108" createdVersion="3" refreshedVersion="6" minRefreshableVersion="3" recordCount="542" xr:uid="{6ABD6A4D-F23A-4499-8B8B-FF1B75F2524A}">
  <cacheSource type="worksheet">
    <worksheetSource ref="A1:I802" sheet="Revenue Data"/>
  </cacheSource>
  <cacheFields count="9">
    <cacheField name="Registration No." numFmtId="0">
      <sharedItems/>
    </cacheField>
    <cacheField name="Customer" numFmtId="0">
      <sharedItems count="68">
        <s v="Customer Z"/>
        <s v="Customer Y"/>
        <s v="Customer X"/>
        <s v="Customer W"/>
        <s v="Customer V"/>
        <s v="Customer U"/>
        <s v="Customer T"/>
        <s v="Customer S"/>
        <s v="Customer R"/>
        <s v="Customer Q"/>
        <s v="Customer P"/>
        <s v="Customer O"/>
        <s v="Customer N"/>
        <s v="Customer M"/>
        <s v="Customer L"/>
        <s v="Customer K"/>
        <s v="Customer J"/>
        <s v="Customer I"/>
        <s v="Customer H"/>
        <s v="Customer G"/>
        <s v="Customer F"/>
        <s v="Customer E"/>
        <s v="Customer D"/>
        <s v="Customer C"/>
        <s v="Customer BL"/>
        <s v="Customer BK"/>
        <s v="Customer BJ"/>
        <s v="Customer BI"/>
        <s v="Customer BH"/>
        <s v="Customer BG"/>
        <s v="Customer BF"/>
        <s v="Customer BE"/>
        <s v="Customer BD"/>
        <s v="Customer BC"/>
        <s v="Customer BB"/>
        <s v="Customer BA"/>
        <s v="Customer B"/>
        <s v="Customer AZ"/>
        <s v="Customer AY"/>
        <s v="Customer AX"/>
        <s v="Customer AW"/>
        <s v="Customer AV"/>
        <s v="Customer AU"/>
        <s v="Customer AT"/>
        <s v="Customer AS"/>
        <s v="Customer AR"/>
        <s v="Customer AQ"/>
        <s v="Customer AP"/>
        <s v="Customer AO"/>
        <s v="Customer AN"/>
        <s v="Customer AM"/>
        <s v="Customer AL"/>
        <s v="Customer AK"/>
        <s v="Customer AJ"/>
        <s v="Customer AI"/>
        <s v="Customer AH"/>
        <s v="Customer AG"/>
        <s v="Customer AF"/>
        <s v="Customer AE"/>
        <s v="Customer AD"/>
        <s v="Customer AC"/>
        <s v="Customer AB"/>
        <s v="Customer AA"/>
        <s v="Customer A"/>
        <s v="customer unique"/>
        <s v="Vijay Perepa"/>
        <s v="Another"/>
        <s v="PerepaEdu"/>
      </sharedItems>
    </cacheField>
    <cacheField name="DOJ" numFmtId="165">
      <sharedItems containsSemiMixedTypes="0" containsNonDate="0" containsDate="1" containsString="0" minDate="2017-01-07T00:00:00" maxDate="2020-12-07T00:00:00"/>
    </cacheField>
    <cacheField name="Stundent Name" numFmtId="0">
      <sharedItems containsSemiMixedTypes="0" containsString="0" containsNumber="1" containsInteger="1" minValue="1" maxValue="249"/>
    </cacheField>
    <cacheField name="Department" numFmtId="0">
      <sharedItems/>
    </cacheField>
    <cacheField name="City" numFmtId="0">
      <sharedItems/>
    </cacheField>
    <cacheField name="Application" numFmtId="0">
      <sharedItems containsBlank="1"/>
    </cacheField>
    <cacheField name="Duration" numFmtId="1">
      <sharedItems containsSemiMixedTypes="0" containsString="0" containsNumber="1" containsInteger="1" minValue="8" maxValue="234"/>
    </cacheField>
    <cacheField name="Sales 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_RC" refreshedDate="44581.533626851851" createdVersion="7" refreshedVersion="7" minRefreshableVersion="3" recordCount="782" xr:uid="{778B964D-16CF-469A-B645-8B1B17A2679E}">
  <cacheSource type="worksheet">
    <worksheetSource name="Revenue"/>
  </cacheSource>
  <cacheFields count="9">
    <cacheField name="Registration No." numFmtId="0">
      <sharedItems containsBlank="1"/>
    </cacheField>
    <cacheField name="Customer" numFmtId="0">
      <sharedItems/>
    </cacheField>
    <cacheField name="DOJ" numFmtId="165">
      <sharedItems containsSemiMixedTypes="0" containsNonDate="0" containsDate="1" containsString="0" minDate="2017-01-07T00:00:00" maxDate="2021-12-31T00:00:00"/>
    </cacheField>
    <cacheField name="Stundent Name" numFmtId="0">
      <sharedItems containsSemiMixedTypes="0" containsString="0" containsNumber="1" containsInteger="1" minValue="1" maxValue="249"/>
    </cacheField>
    <cacheField name="Department" numFmtId="0">
      <sharedItems containsBlank="1" count="11">
        <s v="Admin"/>
        <s v="Finance"/>
        <s v="HR"/>
        <m/>
        <s v=" Finance     "/>
        <s v="      FInAncE     "/>
        <s v="     Fin"/>
        <s v="   FInaNCe"/>
        <s v="         Finance"/>
        <s v="Finance          "/>
        <s v="aDmin    "/>
      </sharedItems>
    </cacheField>
    <cacheField name="City" numFmtId="0">
      <sharedItems/>
    </cacheField>
    <cacheField name="Application" numFmtId="0">
      <sharedItems/>
    </cacheField>
    <cacheField name="Duration" numFmtId="1">
      <sharedItems containsMixedTypes="1" containsNumber="1" containsInteger="1" minValue="8" maxValue="234"/>
    </cacheField>
    <cacheField name="Sales 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s v="AMTZ1"/>
    <x v="0"/>
    <d v="2017-12-30T00:00:00"/>
    <n v="1"/>
    <s v="Finance"/>
    <e v="#DIV/0!"/>
    <m/>
    <n v="19"/>
    <e v="#DIV/0!"/>
  </r>
  <r>
    <s v="AMTZ2"/>
    <x v="1"/>
    <d v="2017-12-25T00:00:00"/>
    <n v="2"/>
    <s v="Finance"/>
    <s v="New Delhi"/>
    <s v="Power"/>
    <n v="9"/>
    <s v="Rajath"/>
  </r>
  <r>
    <s v="AMTZ3"/>
    <x v="1"/>
    <d v="2017-12-25T00:00:00"/>
    <n v="3"/>
    <s v="Finance"/>
    <s v="Bengaluru"/>
    <s v="Excel"/>
    <n v="39"/>
    <s v="Raman"/>
  </r>
  <r>
    <s v="AMTZ4"/>
    <x v="2"/>
    <d v="2017-12-18T00:00:00"/>
    <n v="4"/>
    <s v="Finance"/>
    <e v="#DIV/0!"/>
    <s v="PowerBI"/>
    <n v="22"/>
    <e v="#DIV/0!"/>
  </r>
  <r>
    <s v="AMTZ5"/>
    <x v="2"/>
    <d v="2018-01-01T00:00:00"/>
    <n v="5"/>
    <s v="Finance"/>
    <s v="Pune"/>
    <s v="VBA"/>
    <n v="8"/>
    <s v="Amar"/>
  </r>
  <r>
    <s v="AMTZ5"/>
    <x v="3"/>
    <d v="2017-12-15T00:00:00"/>
    <n v="6"/>
    <s v="Finance"/>
    <s v="New Delhi"/>
    <s v="Outlook"/>
    <n v="18"/>
    <s v="Rajath"/>
  </r>
  <r>
    <s v="AMTZ6"/>
    <x v="3"/>
    <d v="2017-12-06T00:00:00"/>
    <n v="7"/>
    <s v="Finance"/>
    <e v="#DIV/0!"/>
    <s v="Office 365"/>
    <n v="25"/>
    <e v="#DIV/0!"/>
  </r>
  <r>
    <s v="AMTZ7"/>
    <x v="4"/>
    <d v="2017-12-02T00:00:00"/>
    <n v="8"/>
    <s v="Finance"/>
    <s v="Kolkata"/>
    <s v="Word"/>
    <n v="18"/>
    <s v="Rajath"/>
  </r>
  <r>
    <s v="AMTZ8"/>
    <x v="4"/>
    <d v="2017-11-30T00:00:00"/>
    <n v="9"/>
    <s v="Finance"/>
    <s v="New Delhi"/>
    <s v="Power"/>
    <n v="30"/>
    <s v="Rajath"/>
  </r>
  <r>
    <s v="AMTZ9"/>
    <x v="5"/>
    <d v="2017-11-29T00:00:00"/>
    <n v="10"/>
    <s v="Finance"/>
    <e v="#DIV/0!"/>
    <s v="Excel"/>
    <n v="24"/>
    <e v="#DIV/0!"/>
  </r>
  <r>
    <s v="AMTZ10"/>
    <x v="5"/>
    <d v="2017-11-28T00:00:00"/>
    <n v="11"/>
    <s v="Finance"/>
    <s v="Nagpur"/>
    <m/>
    <n v="24"/>
    <s v="Amar"/>
  </r>
  <r>
    <s v="AMTZ11"/>
    <x v="6"/>
    <d v="2017-11-20T00:00:00"/>
    <n v="12"/>
    <s v="Finance"/>
    <s v="Pune"/>
    <s v="VBA"/>
    <n v="17"/>
    <s v="Amar"/>
  </r>
  <r>
    <s v="AMTZ12"/>
    <x v="6"/>
    <d v="2017-11-19T00:00:00"/>
    <n v="13"/>
    <s v="Finance"/>
    <s v="Chennai"/>
    <s v="Outlook"/>
    <n v="11"/>
    <s v="Raman"/>
  </r>
  <r>
    <s v="AMTZ13"/>
    <x v="7"/>
    <d v="2017-11-16T00:00:00"/>
    <n v="14"/>
    <s v="Finance"/>
    <s v="Hyderabad"/>
    <m/>
    <n v="33"/>
    <s v="Amar"/>
  </r>
  <r>
    <s v="AMTZ14"/>
    <x v="7"/>
    <d v="2017-11-13T00:00:00"/>
    <n v="15"/>
    <s v="Finance"/>
    <s v="Kolkata"/>
    <s v="Word"/>
    <n v="32"/>
    <s v="Rajath"/>
  </r>
  <r>
    <s v="AMTZ15"/>
    <x v="8"/>
    <d v="2017-11-10T00:00:00"/>
    <n v="16"/>
    <s v="Finance"/>
    <s v="New Delhi"/>
    <s v="Power"/>
    <n v="34"/>
    <s v="Rajath"/>
  </r>
  <r>
    <s v="AMTZ16"/>
    <x v="8"/>
    <d v="2017-11-02T00:00:00"/>
    <n v="17"/>
    <s v="Finance"/>
    <s v="Bengaluru"/>
    <s v="Excel"/>
    <n v="23"/>
    <s v="Raman"/>
  </r>
  <r>
    <s v="AMTZ17"/>
    <x v="9"/>
    <d v="2017-11-01T00:00:00"/>
    <n v="18"/>
    <s v="Finance"/>
    <s v="Nagpur"/>
    <s v="PowerBI"/>
    <n v="38"/>
    <s v="Amar"/>
  </r>
  <r>
    <s v="AMTZ18"/>
    <x v="9"/>
    <d v="2017-10-29T00:00:00"/>
    <n v="19"/>
    <s v="HR"/>
    <s v="Pune"/>
    <s v="VBA"/>
    <n v="39"/>
    <s v="Amar"/>
  </r>
  <r>
    <s v="AMTZ19"/>
    <x v="9"/>
    <d v="2017-10-29T00:00:00"/>
    <n v="20"/>
    <s v="HR"/>
    <s v="Chennai"/>
    <s v="Outlook"/>
    <n v="25"/>
    <s v="Raman"/>
  </r>
  <r>
    <s v="AMTZ20"/>
    <x v="10"/>
    <d v="2017-10-28T00:00:00"/>
    <n v="21"/>
    <s v="HR"/>
    <s v="Hyderabad"/>
    <s v="Office 365"/>
    <n v="36"/>
    <s v="Amar"/>
  </r>
  <r>
    <s v="AMTZ21"/>
    <x v="10"/>
    <d v="2017-10-26T00:00:00"/>
    <n v="22"/>
    <s v="HR"/>
    <s v="Kolkata"/>
    <s v="Word"/>
    <n v="28"/>
    <s v="Rajath"/>
  </r>
  <r>
    <s v="AMTZ22"/>
    <x v="11"/>
    <d v="2017-10-25T00:00:00"/>
    <n v="23"/>
    <s v="HR"/>
    <s v="New Delhi"/>
    <s v="Power"/>
    <n v="15"/>
    <s v="Rajath"/>
  </r>
  <r>
    <s v="AMTZ23"/>
    <x v="11"/>
    <d v="2017-10-24T00:00:00"/>
    <n v="24"/>
    <s v="HR"/>
    <s v="Bengaluru"/>
    <s v="Excel"/>
    <n v="34"/>
    <s v="Raman"/>
  </r>
  <r>
    <s v="AMTZ24"/>
    <x v="12"/>
    <d v="2017-10-20T00:00:00"/>
    <n v="25"/>
    <s v="HR"/>
    <s v="Nagpur"/>
    <s v="PowerBI"/>
    <n v="40"/>
    <s v="Amar"/>
  </r>
  <r>
    <s v="AMTZ25"/>
    <x v="12"/>
    <d v="2017-10-20T00:00:00"/>
    <n v="26"/>
    <s v="HR"/>
    <s v="Pune"/>
    <s v="VBA"/>
    <n v="14"/>
    <s v="Amar"/>
  </r>
  <r>
    <s v="AMTZ26"/>
    <x v="13"/>
    <d v="2017-10-19T00:00:00"/>
    <n v="27"/>
    <s v="HR"/>
    <s v="Chennai"/>
    <s v="Outlook"/>
    <n v="27"/>
    <s v="Raman"/>
  </r>
  <r>
    <s v="AMTZ27"/>
    <x v="13"/>
    <d v="2017-10-18T00:00:00"/>
    <n v="28"/>
    <s v="HR"/>
    <s v="Kolkata"/>
    <s v="Office 365"/>
    <n v="10"/>
    <s v="Rajath"/>
  </r>
  <r>
    <s v="AMTZ28"/>
    <x v="14"/>
    <d v="2017-10-16T00:00:00"/>
    <n v="29"/>
    <s v="HR"/>
    <s v="New Delhi"/>
    <s v="Word"/>
    <n v="32"/>
    <s v="Rajath"/>
  </r>
  <r>
    <s v="AMTZ29"/>
    <x v="14"/>
    <d v="2017-10-06T00:00:00"/>
    <n v="30"/>
    <s v="HR"/>
    <s v="Bengaluru"/>
    <s v="Power"/>
    <n v="21"/>
    <s v="Raman"/>
  </r>
  <r>
    <s v="AMTZ30"/>
    <x v="15"/>
    <d v="2017-10-05T00:00:00"/>
    <n v="31"/>
    <s v="HR"/>
    <s v="Nagpur"/>
    <s v="Excel"/>
    <n v="35"/>
    <s v="Amar"/>
  </r>
  <r>
    <s v="AMTZ31"/>
    <x v="15"/>
    <d v="2017-10-05T00:00:00"/>
    <n v="32"/>
    <s v="Admin"/>
    <s v="Pune"/>
    <s v="PowerBI"/>
    <n v="39"/>
    <s v="Amar"/>
  </r>
  <r>
    <s v="AMTZ32"/>
    <x v="16"/>
    <d v="2017-10-03T00:00:00"/>
    <n v="33"/>
    <s v="Admin"/>
    <s v="Chennai"/>
    <s v="VBA"/>
    <n v="19"/>
    <s v="Raman"/>
  </r>
  <r>
    <s v="AMTZ33"/>
    <x v="16"/>
    <d v="2017-09-29T00:00:00"/>
    <n v="34"/>
    <s v="Admin"/>
    <s v="Hyderabad"/>
    <s v="Outlook"/>
    <n v="32"/>
    <s v="Amar"/>
  </r>
  <r>
    <s v="AMTZ34"/>
    <x v="17"/>
    <d v="2017-09-27T00:00:00"/>
    <n v="35"/>
    <s v="Admin"/>
    <s v="Kolkata"/>
    <s v="Office 365"/>
    <n v="24"/>
    <s v="Rajath"/>
  </r>
  <r>
    <s v="AMTZ35"/>
    <x v="17"/>
    <d v="2017-09-27T00:00:00"/>
    <n v="36"/>
    <s v="Admin"/>
    <s v="New Delhi"/>
    <s v="Word"/>
    <n v="37"/>
    <s v="Rajath"/>
  </r>
  <r>
    <s v="AMTZ36"/>
    <x v="18"/>
    <d v="2017-09-22T00:00:00"/>
    <n v="37"/>
    <s v="Admin"/>
    <s v="Bengaluru"/>
    <s v="Power"/>
    <n v="23"/>
    <s v="Raman"/>
  </r>
  <r>
    <s v="AMTZ37"/>
    <x v="18"/>
    <d v="2017-09-22T00:00:00"/>
    <n v="38"/>
    <s v="Admin"/>
    <s v="Nagpur"/>
    <s v="Excel"/>
    <n v="34"/>
    <s v="Amar"/>
  </r>
  <r>
    <s v="AMTZ38"/>
    <x v="19"/>
    <d v="2017-09-21T00:00:00"/>
    <n v="39"/>
    <s v="Admin"/>
    <s v="Pune"/>
    <s v="PowerBI"/>
    <n v="16"/>
    <s v="Amar"/>
  </r>
  <r>
    <s v="AMTZ39"/>
    <x v="19"/>
    <d v="2017-09-15T00:00:00"/>
    <n v="40"/>
    <s v="Admin"/>
    <s v="Chennai"/>
    <s v="VBA"/>
    <n v="28"/>
    <s v="Raman"/>
  </r>
  <r>
    <s v="AMTZ40"/>
    <x v="20"/>
    <d v="2017-09-14T00:00:00"/>
    <n v="41"/>
    <s v="Admin"/>
    <s v="Hyderabad"/>
    <s v="Outlook"/>
    <n v="20"/>
    <s v="Amar"/>
  </r>
  <r>
    <s v="AMTZ41"/>
    <x v="20"/>
    <d v="2017-09-13T00:00:00"/>
    <n v="42"/>
    <s v="Admin"/>
    <s v="Kolkata"/>
    <s v="Office 365"/>
    <n v="27"/>
    <s v="Rajath"/>
  </r>
  <r>
    <s v="AMTZ42"/>
    <x v="21"/>
    <d v="2017-09-11T00:00:00"/>
    <n v="43"/>
    <s v="Admin"/>
    <s v="New Delhi"/>
    <s v="Word"/>
    <n v="32"/>
    <s v="Rajath"/>
  </r>
  <r>
    <s v="AMTZ43"/>
    <x v="21"/>
    <d v="2017-08-24T00:00:00"/>
    <n v="44"/>
    <s v="Admin"/>
    <s v="Bengaluru"/>
    <s v="Power"/>
    <n v="19"/>
    <s v="Raman"/>
  </r>
  <r>
    <s v="AMTZ44"/>
    <x v="22"/>
    <d v="2017-08-19T00:00:00"/>
    <n v="45"/>
    <s v="Admin"/>
    <s v="Nagpur"/>
    <s v="Excel"/>
    <n v="14"/>
    <s v="Amar"/>
  </r>
  <r>
    <s v="AMTZ45"/>
    <x v="22"/>
    <d v="2017-08-14T00:00:00"/>
    <n v="46"/>
    <s v="Admin"/>
    <s v="Pune"/>
    <s v="PowerBI"/>
    <n v="23"/>
    <s v="Amar"/>
  </r>
  <r>
    <s v="AMTZ46"/>
    <x v="23"/>
    <d v="2017-08-04T00:00:00"/>
    <n v="47"/>
    <s v="Admin"/>
    <s v="Chennai"/>
    <s v="Word"/>
    <n v="18"/>
    <s v="Raman"/>
  </r>
  <r>
    <s v="AMTZ47"/>
    <x v="23"/>
    <d v="2017-07-29T00:00:00"/>
    <n v="48"/>
    <s v="Admin"/>
    <s v="Kolkata"/>
    <s v="Power"/>
    <n v="20"/>
    <s v="Rajath"/>
  </r>
  <r>
    <s v="AMTZ48"/>
    <x v="24"/>
    <d v="2017-07-28T00:00:00"/>
    <n v="49"/>
    <s v="Finance"/>
    <s v="New Delhi"/>
    <s v="Excel"/>
    <n v="25"/>
    <s v="Rajath"/>
  </r>
  <r>
    <s v="AMTZ49"/>
    <x v="24"/>
    <d v="2017-07-27T00:00:00"/>
    <n v="50"/>
    <s v="Finance"/>
    <s v="Bengaluru"/>
    <s v="PowerBI"/>
    <n v="36"/>
    <s v="Raman"/>
  </r>
  <r>
    <s v="AMTZ50"/>
    <x v="25"/>
    <d v="2017-07-26T00:00:00"/>
    <n v="51"/>
    <s v="Finance"/>
    <s v="Nagpur"/>
    <s v="VBA"/>
    <n v="38"/>
    <s v="Amar"/>
  </r>
  <r>
    <s v="AMTZ51"/>
    <x v="25"/>
    <d v="2017-07-26T00:00:00"/>
    <n v="52"/>
    <s v="Finance"/>
    <s v="Pune"/>
    <s v="Outlook"/>
    <n v="18"/>
    <s v="Amar"/>
  </r>
  <r>
    <s v="AMTZ52"/>
    <x v="26"/>
    <d v="2017-07-24T00:00:00"/>
    <n v="53"/>
    <s v="Finance"/>
    <s v="Chennai"/>
    <s v="Office 365"/>
    <n v="12"/>
    <s v="Raman"/>
  </r>
  <r>
    <s v="AMTZ53"/>
    <x v="26"/>
    <d v="2017-07-20T00:00:00"/>
    <n v="54"/>
    <s v="Finance"/>
    <s v="Hyderabad"/>
    <s v="Word"/>
    <n v="32"/>
    <s v="Amar"/>
  </r>
  <r>
    <s v="AMTZ54"/>
    <x v="27"/>
    <d v="2017-07-17T00:00:00"/>
    <n v="55"/>
    <s v="Finance"/>
    <s v="Kolkata"/>
    <s v="Power"/>
    <n v="39"/>
    <s v="Rajath"/>
  </r>
  <r>
    <s v="AMTZ55"/>
    <x v="27"/>
    <d v="2017-07-14T00:00:00"/>
    <n v="56"/>
    <s v="Finance"/>
    <s v="New Delhi"/>
    <s v="Excel"/>
    <n v="39"/>
    <s v="Rajath"/>
  </r>
  <r>
    <s v="AMTZ56"/>
    <x v="28"/>
    <d v="2017-07-12T00:00:00"/>
    <n v="57"/>
    <s v="Finance"/>
    <s v="Bengaluru"/>
    <s v="PowerBI"/>
    <n v="30"/>
    <s v="Raman"/>
  </r>
  <r>
    <s v="AMTZ57"/>
    <x v="28"/>
    <d v="2017-07-12T00:00:00"/>
    <n v="58"/>
    <s v="Finance"/>
    <s v="Nagpur"/>
    <s v="VBA"/>
    <n v="24"/>
    <s v="Amar"/>
  </r>
  <r>
    <s v="AMTZ58"/>
    <x v="29"/>
    <d v="2017-07-04T00:00:00"/>
    <n v="59"/>
    <s v="Finance"/>
    <s v="Pune"/>
    <s v="Outlook"/>
    <n v="25"/>
    <s v="Amar"/>
  </r>
  <r>
    <s v="AMTZ59"/>
    <x v="29"/>
    <d v="2017-07-01T00:00:00"/>
    <n v="60"/>
    <s v="Finance"/>
    <s v="Chennai"/>
    <s v="Office 365"/>
    <n v="40"/>
    <s v="Raman"/>
  </r>
  <r>
    <s v="AMTZ60"/>
    <x v="30"/>
    <d v="2017-07-01T00:00:00"/>
    <n v="61"/>
    <s v="Finance"/>
    <s v="Hyderabad"/>
    <s v="Word"/>
    <n v="17"/>
    <s v="Amar"/>
  </r>
  <r>
    <s v="AMTZ61"/>
    <x v="30"/>
    <d v="2017-06-22T00:00:00"/>
    <n v="62"/>
    <s v="Finance"/>
    <s v="Kolkata"/>
    <s v="Power"/>
    <n v="38"/>
    <s v="Rajath"/>
  </r>
  <r>
    <s v="AMTZ62"/>
    <x v="31"/>
    <d v="2017-06-18T00:00:00"/>
    <n v="63"/>
    <s v="Finance"/>
    <s v="New Delhi"/>
    <s v="Excel"/>
    <n v="15"/>
    <s v="Rajath"/>
  </r>
  <r>
    <s v="AMTZ63"/>
    <x v="31"/>
    <d v="2017-06-17T00:00:00"/>
    <n v="64"/>
    <s v="Finance"/>
    <s v="Bengaluru"/>
    <s v="PowerBI"/>
    <n v="30"/>
    <s v="Raman"/>
  </r>
  <r>
    <s v="AMTZ64"/>
    <x v="32"/>
    <d v="2017-06-17T00:00:00"/>
    <n v="65"/>
    <s v="Finance"/>
    <s v="Nagpur"/>
    <s v="Word"/>
    <n v="31"/>
    <s v="Amar"/>
  </r>
  <r>
    <s v="AMTZ65"/>
    <x v="32"/>
    <d v="2017-06-15T00:00:00"/>
    <n v="66"/>
    <s v="Finance"/>
    <s v="Pune"/>
    <s v="Power"/>
    <n v="37"/>
    <s v="Amar"/>
  </r>
  <r>
    <s v="AMTZ66"/>
    <x v="33"/>
    <d v="2017-06-10T00:00:00"/>
    <n v="67"/>
    <s v="Finance"/>
    <s v="Chennai"/>
    <s v="Excel"/>
    <n v="11"/>
    <s v="Raman"/>
  </r>
  <r>
    <s v="AMTZ67"/>
    <x v="33"/>
    <d v="2017-06-05T00:00:00"/>
    <n v="68"/>
    <s v="Admin"/>
    <s v="Kolkata"/>
    <s v="PowerBI"/>
    <n v="31"/>
    <s v="Rajath"/>
  </r>
  <r>
    <s v="AMTZ68"/>
    <x v="34"/>
    <d v="2017-06-02T00:00:00"/>
    <n v="69"/>
    <s v="Admin"/>
    <s v="New Delhi"/>
    <s v="VBA"/>
    <n v="19"/>
    <s v="Rajath"/>
  </r>
  <r>
    <s v="AMTZ69"/>
    <x v="34"/>
    <d v="2017-06-01T00:00:00"/>
    <n v="70"/>
    <s v="Admin"/>
    <s v="Bengaluru"/>
    <s v="Outlook"/>
    <n v="33"/>
    <s v="Raman"/>
  </r>
  <r>
    <s v="AMTZ70"/>
    <x v="35"/>
    <d v="2017-05-25T00:00:00"/>
    <n v="71"/>
    <s v="Admin"/>
    <s v="Nagpur"/>
    <s v="Word"/>
    <n v="39"/>
    <s v="Amar"/>
  </r>
  <r>
    <s v="AMTZ71"/>
    <x v="35"/>
    <d v="2017-05-25T00:00:00"/>
    <n v="72"/>
    <s v="Admin"/>
    <s v="Pune"/>
    <s v="Power"/>
    <n v="15"/>
    <s v="Amar"/>
  </r>
  <r>
    <s v="AMTZ72"/>
    <x v="36"/>
    <d v="2017-05-25T00:00:00"/>
    <n v="73"/>
    <s v="HR"/>
    <s v="Chennai"/>
    <s v="Excel"/>
    <n v="28"/>
    <s v="Raman"/>
  </r>
  <r>
    <s v="AMTZ73"/>
    <x v="36"/>
    <d v="2017-05-24T00:00:00"/>
    <n v="74"/>
    <s v="HR"/>
    <s v="Hyderabad"/>
    <s v="PowerBI"/>
    <n v="9"/>
    <s v="Amar"/>
  </r>
  <r>
    <s v="AMTZ74"/>
    <x v="37"/>
    <d v="2017-05-23T00:00:00"/>
    <n v="75"/>
    <s v="HR"/>
    <s v="Kolkata"/>
    <s v="VBA"/>
    <n v="27"/>
    <s v="Rajath"/>
  </r>
  <r>
    <s v="AMTZ75"/>
    <x v="37"/>
    <d v="2017-05-20T00:00:00"/>
    <n v="76"/>
    <s v="HR"/>
    <s v="New Delhi"/>
    <s v="Word"/>
    <n v="21"/>
    <s v="Rajath"/>
  </r>
  <r>
    <s v="AMTZ76"/>
    <x v="38"/>
    <d v="2017-05-18T00:00:00"/>
    <n v="77"/>
    <s v="HR"/>
    <s v="Bengaluru"/>
    <s v="Power"/>
    <n v="35"/>
    <s v="Raman"/>
  </r>
  <r>
    <s v="AMTZ77"/>
    <x v="38"/>
    <d v="2017-05-17T00:00:00"/>
    <n v="78"/>
    <s v="HR"/>
    <s v="Nagpur"/>
    <s v="Excel"/>
    <n v="37"/>
    <s v="Amar"/>
  </r>
  <r>
    <s v="AMTZ78"/>
    <x v="39"/>
    <d v="2017-05-16T00:00:00"/>
    <n v="79"/>
    <s v="HR"/>
    <s v="Pune"/>
    <s v="PowerBI"/>
    <n v="13"/>
    <s v="Amar"/>
  </r>
  <r>
    <s v="AMTZ79"/>
    <x v="39"/>
    <d v="2017-05-15T00:00:00"/>
    <n v="80"/>
    <s v="HR"/>
    <s v="Chennai"/>
    <s v="VBA"/>
    <n v="22"/>
    <s v="Raman"/>
  </r>
  <r>
    <s v="AMTZ80"/>
    <x v="40"/>
    <d v="2017-05-15T00:00:00"/>
    <n v="81"/>
    <s v="HR"/>
    <s v="Hyderabad"/>
    <s v="Outlook"/>
    <n v="27"/>
    <s v="Amar"/>
  </r>
  <r>
    <s v="AMTZ81"/>
    <x v="40"/>
    <d v="2017-05-15T00:00:00"/>
    <n v="82"/>
    <s v="HR"/>
    <s v="Kolkata"/>
    <s v="Word"/>
    <n v="11"/>
    <s v="Rajath"/>
  </r>
  <r>
    <s v="AMTZ82"/>
    <x v="41"/>
    <d v="2017-05-14T00:00:00"/>
    <n v="83"/>
    <s v="HR"/>
    <s v="New Delhi"/>
    <s v="Power"/>
    <n v="21"/>
    <s v="Rajath"/>
  </r>
  <r>
    <s v="AMTZ83"/>
    <x v="41"/>
    <d v="2017-05-09T00:00:00"/>
    <n v="84"/>
    <s v="HR"/>
    <s v="Bengaluru"/>
    <s v="Excel"/>
    <n v="12"/>
    <s v="Raman"/>
  </r>
  <r>
    <s v="AMTZ84"/>
    <x v="42"/>
    <d v="2017-05-08T00:00:00"/>
    <n v="85"/>
    <s v="HR"/>
    <s v="Nagpur"/>
    <s v="PowerBI"/>
    <n v="15"/>
    <s v="Amar"/>
  </r>
  <r>
    <s v="AMTZ85"/>
    <x v="42"/>
    <d v="2017-05-04T00:00:00"/>
    <n v="86"/>
    <s v="HR"/>
    <s v="Pune"/>
    <s v="VBA"/>
    <n v="15"/>
    <s v="Amar"/>
  </r>
  <r>
    <s v="AMTZ86"/>
    <x v="43"/>
    <d v="2017-04-27T00:00:00"/>
    <n v="87"/>
    <s v="HR"/>
    <s v="Chennai"/>
    <s v="Outlook"/>
    <n v="29"/>
    <s v="Raman"/>
  </r>
  <r>
    <s v="AMTZ87"/>
    <x v="43"/>
    <d v="2017-04-26T00:00:00"/>
    <n v="88"/>
    <s v="HR"/>
    <s v="Kolkata"/>
    <s v="Word"/>
    <n v="20"/>
    <s v="Rajath"/>
  </r>
  <r>
    <s v="AMTZ88"/>
    <x v="44"/>
    <d v="2017-04-25T00:00:00"/>
    <n v="89"/>
    <s v="HR"/>
    <s v="New Delhi"/>
    <s v="Power"/>
    <n v="11"/>
    <s v="Rajath"/>
  </r>
  <r>
    <s v="AMTZ89"/>
    <x v="44"/>
    <d v="2017-04-24T00:00:00"/>
    <n v="90"/>
    <s v="HR"/>
    <s v="Bengaluru"/>
    <s v="Excel"/>
    <n v="31"/>
    <s v="Raman"/>
  </r>
  <r>
    <s v="AMTZ90"/>
    <x v="45"/>
    <d v="2017-04-17T00:00:00"/>
    <n v="91"/>
    <s v="HR"/>
    <s v="Nagpur"/>
    <s v="PowerBI"/>
    <n v="36"/>
    <s v="Amar"/>
  </r>
  <r>
    <s v="AMTZ91"/>
    <x v="45"/>
    <d v="2017-04-15T00:00:00"/>
    <n v="92"/>
    <s v="HR"/>
    <s v="Pune"/>
    <s v="VBA"/>
    <n v="35"/>
    <s v="Amar"/>
  </r>
  <r>
    <s v="AMTZ92"/>
    <x v="46"/>
    <d v="2017-04-14T00:00:00"/>
    <n v="93"/>
    <s v="HR"/>
    <s v="Chennai"/>
    <s v="Outlook"/>
    <n v="18"/>
    <s v="Raman"/>
  </r>
  <r>
    <s v="AMTZ93"/>
    <x v="46"/>
    <d v="2017-04-09T00:00:00"/>
    <n v="94"/>
    <s v="HR"/>
    <s v="Hyderabad"/>
    <s v="Word"/>
    <n v="11"/>
    <s v="Amar"/>
  </r>
  <r>
    <s v="AMTZ94"/>
    <x v="47"/>
    <d v="2017-04-08T00:00:00"/>
    <n v="95"/>
    <s v="HR"/>
    <s v="Kolkata"/>
    <s v="Power"/>
    <n v="10"/>
    <s v="Rajath"/>
  </r>
  <r>
    <s v="AMTZ95"/>
    <x v="47"/>
    <d v="2017-04-04T00:00:00"/>
    <n v="96"/>
    <s v="HR"/>
    <s v="New Delhi"/>
    <s v="Excel"/>
    <n v="19"/>
    <s v="Rajath"/>
  </r>
  <r>
    <s v="AMTZ96"/>
    <x v="48"/>
    <d v="2017-04-03T00:00:00"/>
    <n v="97"/>
    <s v="HR"/>
    <s v="Bengaluru"/>
    <s v="PowerBI"/>
    <n v="25"/>
    <s v="Raman"/>
  </r>
  <r>
    <s v="AMTZ97"/>
    <x v="48"/>
    <d v="2017-03-26T00:00:00"/>
    <n v="98"/>
    <s v="HR"/>
    <s v="Nagpur"/>
    <s v="VBA"/>
    <n v="23"/>
    <s v="Amar"/>
  </r>
  <r>
    <s v="AMTZ98"/>
    <x v="49"/>
    <d v="2017-03-25T00:00:00"/>
    <n v="99"/>
    <s v="HR"/>
    <s v="Pune"/>
    <s v="Outlook"/>
    <n v="39"/>
    <s v="Amar"/>
  </r>
  <r>
    <s v="AMTZ99"/>
    <x v="49"/>
    <d v="2017-03-22T00:00:00"/>
    <n v="100"/>
    <s v="Finance"/>
    <s v="Chennai"/>
    <s v="Office 365"/>
    <n v="34"/>
    <s v="Raman"/>
  </r>
  <r>
    <s v="AMTZ100"/>
    <x v="50"/>
    <d v="2017-03-22T00:00:00"/>
    <n v="101"/>
    <s v="Finance"/>
    <s v="Hyderabad"/>
    <s v="Word"/>
    <n v="11"/>
    <s v="Amar"/>
  </r>
  <r>
    <s v="AMTZ101"/>
    <x v="50"/>
    <d v="2017-03-21T00:00:00"/>
    <n v="102"/>
    <s v="Finance"/>
    <s v="Kolkata"/>
    <s v="Power"/>
    <n v="20"/>
    <s v="Rajath"/>
  </r>
  <r>
    <s v="AMTZ102"/>
    <x v="51"/>
    <d v="2017-03-09T00:00:00"/>
    <n v="103"/>
    <s v="Finance"/>
    <s v="New Delhi"/>
    <s v="Excel"/>
    <n v="19"/>
    <s v="Rajath"/>
  </r>
  <r>
    <s v="AMTZ103"/>
    <x v="51"/>
    <d v="2017-03-08T00:00:00"/>
    <n v="104"/>
    <s v="Finance"/>
    <s v="Bengaluru"/>
    <s v="PowerBI"/>
    <n v="33"/>
    <s v="Raman"/>
  </r>
  <r>
    <s v="AMTZ104"/>
    <x v="52"/>
    <d v="2017-03-04T00:00:00"/>
    <n v="105"/>
    <s v="Finance"/>
    <s v="Nagpur"/>
    <s v="VBA"/>
    <n v="33"/>
    <s v="Amar"/>
  </r>
  <r>
    <s v="AMTZ105"/>
    <x v="52"/>
    <d v="2017-03-03T00:00:00"/>
    <n v="106"/>
    <s v="Finance"/>
    <s v="Pune"/>
    <s v="Outlook"/>
    <n v="21"/>
    <s v="Amar"/>
  </r>
  <r>
    <s v="AMTZ106"/>
    <x v="53"/>
    <d v="2017-03-03T00:00:00"/>
    <n v="107"/>
    <s v="Finance"/>
    <s v="Chennai"/>
    <s v="Office 365"/>
    <n v="9"/>
    <s v="Raman"/>
  </r>
  <r>
    <s v="AMTZ107"/>
    <x v="53"/>
    <d v="2017-02-22T00:00:00"/>
    <n v="108"/>
    <s v="Finance"/>
    <s v="Kolkata"/>
    <s v="Word"/>
    <n v="19"/>
    <s v="Rajath"/>
  </r>
  <r>
    <s v="AMTZ108"/>
    <x v="54"/>
    <d v="2017-02-20T00:00:00"/>
    <n v="109"/>
    <s v="Finance"/>
    <s v="New Delhi"/>
    <s v="Power"/>
    <n v="27"/>
    <s v="Rajath"/>
  </r>
  <r>
    <s v="AMTZ109"/>
    <x v="54"/>
    <d v="2017-02-18T00:00:00"/>
    <n v="110"/>
    <s v="Finance"/>
    <s v="Bengaluru"/>
    <s v="Excel"/>
    <n v="15"/>
    <s v="Raman"/>
  </r>
  <r>
    <s v="AMTZ110"/>
    <x v="55"/>
    <d v="2017-02-14T00:00:00"/>
    <n v="111"/>
    <s v="Finance"/>
    <s v="Nagpur"/>
    <s v="PowerBI"/>
    <n v="28"/>
    <s v="Amar"/>
  </r>
  <r>
    <s v="AMTZ110"/>
    <x v="55"/>
    <d v="2017-02-14T00:00:00"/>
    <n v="112"/>
    <s v="Finance"/>
    <s v="New Delhi"/>
    <s v="VBA"/>
    <n v="25"/>
    <s v="Rajath"/>
  </r>
  <r>
    <s v="AMTZ111"/>
    <x v="56"/>
    <d v="2017-02-11T00:00:00"/>
    <n v="113"/>
    <s v="Finance"/>
    <s v="Pune"/>
    <s v="Outlook"/>
    <n v="21"/>
    <s v="Amar"/>
  </r>
  <r>
    <s v="AMTZ112"/>
    <x v="56"/>
    <d v="2017-02-09T00:00:00"/>
    <n v="114"/>
    <s v="Finance"/>
    <s v="Chennai"/>
    <s v="Office 365"/>
    <n v="40"/>
    <s v="Raman"/>
  </r>
  <r>
    <s v="AMTZ113"/>
    <x v="57"/>
    <d v="2017-02-03T00:00:00"/>
    <n v="115"/>
    <s v="Finance"/>
    <s v="Hyderabad"/>
    <s v="Word"/>
    <n v="19"/>
    <s v="Amar"/>
  </r>
  <r>
    <s v="AMTZ114"/>
    <x v="57"/>
    <d v="2017-02-02T00:00:00"/>
    <n v="116"/>
    <s v="Finance"/>
    <s v="Kolkata"/>
    <s v="Power"/>
    <n v="15"/>
    <s v="Rajath"/>
  </r>
  <r>
    <s v="AMTZ115"/>
    <x v="58"/>
    <d v="2017-02-01T00:00:00"/>
    <n v="117"/>
    <s v="Finance"/>
    <s v="New Delhi"/>
    <s v="Excel"/>
    <n v="30"/>
    <s v="Rajath"/>
  </r>
  <r>
    <s v="AMTZ116"/>
    <x v="58"/>
    <d v="2017-01-31T00:00:00"/>
    <n v="118"/>
    <s v="Admin"/>
    <s v="Bengaluru"/>
    <s v="PowerBI"/>
    <n v="31"/>
    <s v="Raman"/>
  </r>
  <r>
    <s v="AMTZ117"/>
    <x v="59"/>
    <d v="2017-01-29T00:00:00"/>
    <n v="119"/>
    <s v="Admin"/>
    <s v="Nagpur"/>
    <s v="VBA"/>
    <n v="24"/>
    <s v="Amar"/>
  </r>
  <r>
    <s v="AMTZ118"/>
    <x v="59"/>
    <d v="2017-01-22T00:00:00"/>
    <n v="120"/>
    <s v="Admin"/>
    <s v="Pune"/>
    <s v="Outlook"/>
    <n v="30"/>
    <s v="Amar"/>
  </r>
  <r>
    <s v="AMTZ119"/>
    <x v="60"/>
    <d v="2017-01-21T00:00:00"/>
    <n v="121"/>
    <s v="Admin"/>
    <s v="Chennai"/>
    <s v="Office 365"/>
    <n v="17"/>
    <s v="Raman"/>
  </r>
  <r>
    <s v="AMTZ120"/>
    <x v="60"/>
    <d v="2017-01-16T00:00:00"/>
    <n v="122"/>
    <s v="Admin"/>
    <s v="Hyderabad"/>
    <s v="Word"/>
    <n v="8"/>
    <s v="Amar"/>
  </r>
  <r>
    <s v="AMTZ121"/>
    <x v="61"/>
    <d v="2017-01-15T00:00:00"/>
    <n v="123"/>
    <s v="Admin"/>
    <s v="Kolkata"/>
    <s v="Power"/>
    <n v="10"/>
    <s v="Rajath"/>
  </r>
  <r>
    <s v="AMTZ122"/>
    <x v="61"/>
    <d v="2017-01-13T00:00:00"/>
    <n v="124"/>
    <s v="Admin"/>
    <s v="New Delhi"/>
    <s v="Excel"/>
    <n v="33"/>
    <s v="Rajath"/>
  </r>
  <r>
    <s v="AMTZ123"/>
    <x v="61"/>
    <d v="2017-01-13T00:00:00"/>
    <n v="125"/>
    <s v="Admin"/>
    <s v="Bengaluru"/>
    <s v="PowerBI"/>
    <n v="21"/>
    <s v="Raman"/>
  </r>
  <r>
    <s v="AMTZ124"/>
    <x v="62"/>
    <d v="2017-01-13T00:00:00"/>
    <n v="126"/>
    <s v="Admin"/>
    <s v="Nagpur"/>
    <s v="VBA"/>
    <n v="25"/>
    <s v="Amar"/>
  </r>
  <r>
    <s v="AMTZ125"/>
    <x v="62"/>
    <d v="2017-01-11T00:00:00"/>
    <n v="127"/>
    <s v="Admin"/>
    <s v="Pune"/>
    <s v="Outlook"/>
    <n v="37"/>
    <s v="Amar"/>
  </r>
  <r>
    <s v="AMTZ126"/>
    <x v="63"/>
    <d v="2017-01-11T00:00:00"/>
    <n v="128"/>
    <s v="Admin"/>
    <s v="Chennai"/>
    <s v="Office 365"/>
    <n v="8"/>
    <s v="Raman"/>
  </r>
  <r>
    <s v="AMTZ127"/>
    <x v="63"/>
    <d v="2017-01-10T00:00:00"/>
    <n v="129"/>
    <s v="Admin"/>
    <s v="Pune"/>
    <s v="Excel"/>
    <n v="26"/>
    <s v="Amar"/>
  </r>
  <r>
    <s v="AMTZ128"/>
    <x v="63"/>
    <d v="2017-01-07T00:00:00"/>
    <n v="130"/>
    <s v="Admin"/>
    <s v="Chennai"/>
    <s v="PowerBI"/>
    <n v="26"/>
    <s v="Raman"/>
  </r>
  <r>
    <s v="AMTZ128"/>
    <x v="63"/>
    <d v="2017-01-07T00:00:00"/>
    <n v="131"/>
    <s v="Admin"/>
    <s v="Chennai"/>
    <s v="PowerBI"/>
    <n v="26"/>
    <s v="Raman"/>
  </r>
  <r>
    <s v="customer unique"/>
    <x v="64"/>
    <d v="2017-01-07T00:00:00"/>
    <n v="132"/>
    <s v="Admin"/>
    <s v="Chennai"/>
    <s v="PowerBI"/>
    <n v="26"/>
    <s v="Raman"/>
  </r>
  <r>
    <s v="AMTZ135"/>
    <x v="62"/>
    <d v="2017-01-11T00:00:00"/>
    <n v="133"/>
    <s v="Admin"/>
    <s v="Pune"/>
    <s v="Outlook"/>
    <n v="37"/>
    <s v="Amar"/>
  </r>
  <r>
    <s v="AMTZ136"/>
    <x v="61"/>
    <d v="2017-01-11T00:00:00"/>
    <n v="134"/>
    <s v="Admin"/>
    <s v="Pune"/>
    <s v="Outlook"/>
    <n v="100"/>
    <s v="Amar"/>
  </r>
  <r>
    <s v="AMTZ137"/>
    <x v="61"/>
    <d v="2017-01-11T00:00:00"/>
    <n v="135"/>
    <s v="Admin"/>
    <s v="Pune"/>
    <s v="Outlook"/>
    <n v="100"/>
    <s v="Amar"/>
  </r>
  <r>
    <s v="AMTZ138"/>
    <x v="61"/>
    <d v="2017-01-11T00:00:00"/>
    <n v="136"/>
    <s v="Admin"/>
    <s v="Pune"/>
    <s v="Outlook"/>
    <n v="37"/>
    <s v="Amar"/>
  </r>
  <r>
    <s v="AMTZ139"/>
    <x v="63"/>
    <d v="2017-01-11T00:00:00"/>
    <n v="128"/>
    <s v="Admin"/>
    <s v="Chennai"/>
    <s v="Office 365"/>
    <n v="8"/>
    <s v="Raman"/>
  </r>
  <r>
    <s v="AMTZ140"/>
    <x v="63"/>
    <d v="2017-01-10T00:00:00"/>
    <n v="129"/>
    <s v="Admin"/>
    <s v="Pune"/>
    <s v="Excel"/>
    <n v="26"/>
    <s v="Amar"/>
  </r>
  <r>
    <s v="AMTZ141"/>
    <x v="63"/>
    <d v="2017-01-07T00:00:00"/>
    <n v="130"/>
    <s v="Admin"/>
    <s v="Chennai"/>
    <s v="PowerBI"/>
    <n v="26"/>
    <s v="Raman"/>
  </r>
  <r>
    <s v="AMTZ142"/>
    <x v="63"/>
    <d v="2017-01-07T00:00:00"/>
    <n v="131"/>
    <s v="Admin"/>
    <s v="Chennai"/>
    <s v="PowerBI"/>
    <n v="26"/>
    <s v="Raman"/>
  </r>
  <r>
    <s v="AMTZ135"/>
    <x v="62"/>
    <d v="2017-01-11T00:00:00"/>
    <n v="132"/>
    <s v="Admin"/>
    <s v="Chennai"/>
    <s v="Office 365"/>
    <n v="8"/>
    <s v="Raman"/>
  </r>
  <r>
    <s v="AMTZ135"/>
    <x v="62"/>
    <d v="2017-01-11T00:00:00"/>
    <n v="133"/>
    <s v="Admin"/>
    <s v="Chennai"/>
    <s v="Office 365"/>
    <n v="8"/>
    <s v="Raman"/>
  </r>
  <r>
    <s v="AMTZ135"/>
    <x v="62"/>
    <d v="2017-01-11T00:00:00"/>
    <n v="134"/>
    <s v="Admin"/>
    <s v="Chennai"/>
    <s v="Office 365"/>
    <n v="8"/>
    <s v="Raman"/>
  </r>
  <r>
    <s v="AMTZ135"/>
    <x v="62"/>
    <d v="2017-01-11T00:00:00"/>
    <n v="135"/>
    <s v="Admin"/>
    <s v="Chennai"/>
    <s v="Office 365"/>
    <n v="8"/>
    <s v="Raman"/>
  </r>
  <r>
    <s v="AMTZ135"/>
    <x v="62"/>
    <d v="2017-01-11T00:00:00"/>
    <n v="136"/>
    <s v="Admin"/>
    <s v="Chennai"/>
    <s v="Office 365"/>
    <n v="8"/>
    <s v="Raman"/>
  </r>
  <r>
    <s v="AMTZ135"/>
    <x v="62"/>
    <d v="2017-01-11T00:00:00"/>
    <n v="137"/>
    <s v="Admin"/>
    <s v="Chennai"/>
    <s v="Office 365"/>
    <n v="8"/>
    <s v="Raman"/>
  </r>
  <r>
    <s v="AMTZ135"/>
    <x v="62"/>
    <d v="2017-01-11T00:00:00"/>
    <n v="138"/>
    <s v="Admin"/>
    <s v="Chennai"/>
    <s v="Office 365"/>
    <n v="8"/>
    <s v="Raman"/>
  </r>
  <r>
    <s v="AMTZ136"/>
    <x v="62"/>
    <d v="2017-01-11T00:00:00"/>
    <n v="139"/>
    <s v="Admin"/>
    <s v="Chennai"/>
    <s v="Office 365"/>
    <n v="234"/>
    <s v="Raman"/>
  </r>
  <r>
    <s v="AMTZ137"/>
    <x v="0"/>
    <d v="2017-12-30T00:00:00"/>
    <n v="140"/>
    <s v="Finance"/>
    <s v="Kolkata"/>
    <s v="Word"/>
    <n v="19"/>
    <s v="Rajath"/>
  </r>
  <r>
    <s v="AMTZ138"/>
    <x v="1"/>
    <d v="2017-12-25T00:00:00"/>
    <n v="141"/>
    <s v="Finance"/>
    <s v="New Delhi"/>
    <s v="Power"/>
    <n v="9"/>
    <s v="Rajath"/>
  </r>
  <r>
    <s v="AMTZ139"/>
    <x v="1"/>
    <d v="2017-12-25T00:00:00"/>
    <n v="142"/>
    <s v="Finance"/>
    <s v="Bengaluru"/>
    <s v="Excel"/>
    <n v="39"/>
    <s v="Raman"/>
  </r>
  <r>
    <s v="AMTZ140"/>
    <x v="2"/>
    <d v="2017-12-18T00:00:00"/>
    <n v="143"/>
    <s v="Finance"/>
    <s v="Nagpur"/>
    <s v="PowerBI"/>
    <n v="22"/>
    <s v="Amar"/>
  </r>
  <r>
    <s v="AMTZ141"/>
    <x v="2"/>
    <d v="2018-01-01T00:00:00"/>
    <n v="144"/>
    <s v="Finance"/>
    <s v="Pune"/>
    <s v="VBA"/>
    <n v="8"/>
    <s v="Amar"/>
  </r>
  <r>
    <s v="AMTZ142"/>
    <x v="3"/>
    <d v="2017-12-15T00:00:00"/>
    <n v="145"/>
    <s v="Finance"/>
    <s v="New Delhi"/>
    <s v="Outlook"/>
    <n v="18"/>
    <s v="Rajath"/>
  </r>
  <r>
    <s v="AMTZ143"/>
    <x v="3"/>
    <d v="2017-12-06T00:00:00"/>
    <n v="146"/>
    <s v="Finance"/>
    <s v="Chennai"/>
    <s v="Office 365"/>
    <n v="25"/>
    <s v="Raman"/>
  </r>
  <r>
    <s v="AMTZ144"/>
    <x v="4"/>
    <d v="2017-12-02T00:00:00"/>
    <n v="147"/>
    <s v="Finance"/>
    <s v="Kolkata"/>
    <s v="Word"/>
    <n v="18"/>
    <s v="Rajath"/>
  </r>
  <r>
    <s v="AMTZ145"/>
    <x v="4"/>
    <d v="2017-11-30T00:00:00"/>
    <n v="148"/>
    <s v="Finance"/>
    <s v="New Delhi"/>
    <s v="Power"/>
    <n v="30"/>
    <s v="Rajath"/>
  </r>
  <r>
    <s v="AMTZ146"/>
    <x v="5"/>
    <d v="2017-11-29T00:00:00"/>
    <n v="149"/>
    <s v="Finance"/>
    <s v="Bengaluru"/>
    <s v="Excel"/>
    <n v="24"/>
    <s v="Raman"/>
  </r>
  <r>
    <s v="AMTZ147"/>
    <x v="5"/>
    <d v="2017-11-28T00:00:00"/>
    <n v="150"/>
    <s v="Finance"/>
    <s v="Nagpur"/>
    <s v="PowerBI"/>
    <n v="24"/>
    <s v="Amar"/>
  </r>
  <r>
    <s v="AMTZ148"/>
    <x v="0"/>
    <d v="2017-11-30T00:00:00"/>
    <n v="151"/>
    <s v="Finance"/>
    <s v="New Delhi"/>
    <s v="Power"/>
    <n v="30"/>
    <s v="Rajath"/>
  </r>
  <r>
    <s v="AMTZ149"/>
    <x v="1"/>
    <d v="2017-11-30T00:00:00"/>
    <n v="152"/>
    <s v="Finance"/>
    <s v="New Delhi"/>
    <s v="Power"/>
    <n v="30"/>
    <s v="Rajath"/>
  </r>
  <r>
    <s v="AMTZ150"/>
    <x v="1"/>
    <d v="2017-11-30T00:00:00"/>
    <n v="153"/>
    <s v="Finance"/>
    <s v="New Delhi"/>
    <s v="Power"/>
    <n v="30"/>
    <s v="Rajath"/>
  </r>
  <r>
    <s v="AMTZ151"/>
    <x v="2"/>
    <d v="2017-11-30T00:00:00"/>
    <n v="154"/>
    <s v="Finance"/>
    <s v="New Delhi"/>
    <s v="Power"/>
    <n v="30"/>
    <s v="Rajath"/>
  </r>
  <r>
    <s v="AMTZ152"/>
    <x v="2"/>
    <d v="2017-11-30T00:00:00"/>
    <n v="155"/>
    <s v="Finance"/>
    <s v="New Delhi"/>
    <s v="Power"/>
    <n v="30"/>
    <s v="Rajath"/>
  </r>
  <r>
    <s v="AMTZ153"/>
    <x v="3"/>
    <d v="2017-11-30T00:00:00"/>
    <n v="156"/>
    <s v="Finance"/>
    <s v="New Delhi"/>
    <s v="Power"/>
    <n v="30"/>
    <s v="Rajath"/>
  </r>
  <r>
    <s v="AMTZ154"/>
    <x v="3"/>
    <d v="2017-11-30T00:00:00"/>
    <n v="157"/>
    <s v="Finance"/>
    <s v="New Delhi"/>
    <s v="Power"/>
    <n v="30"/>
    <s v="Rajath"/>
  </r>
  <r>
    <s v="AMTZ155"/>
    <x v="0"/>
    <d v="2017-11-30T00:00:00"/>
    <n v="158"/>
    <s v="Finance"/>
    <s v="New Delhi"/>
    <s v="Power"/>
    <n v="30"/>
    <s v="Rajath"/>
  </r>
  <r>
    <s v="AMTZ156"/>
    <x v="65"/>
    <d v="2017-11-30T00:00:00"/>
    <n v="158"/>
    <s v="Finance"/>
    <s v="New Delhi"/>
    <s v="Power"/>
    <n v="26"/>
    <s v="Rajath"/>
  </r>
  <r>
    <s v="AMTZ157"/>
    <x v="2"/>
    <d v="2018-01-01T00:00:00"/>
    <n v="159"/>
    <s v="Finance"/>
    <s v="Pune"/>
    <s v="VBA"/>
    <n v="8"/>
    <s v="Amar"/>
  </r>
  <r>
    <s v="AMTZ158"/>
    <x v="3"/>
    <d v="2017-12-15T00:00:00"/>
    <n v="160"/>
    <s v="Finance"/>
    <s v="New Delhi"/>
    <s v="Outlook"/>
    <n v="18"/>
    <s v="Rajath"/>
  </r>
  <r>
    <s v="AMTZ159"/>
    <x v="3"/>
    <d v="2017-12-06T00:00:00"/>
    <n v="161"/>
    <s v="Finance"/>
    <s v="Chennai"/>
    <s v="Office 365"/>
    <n v="25"/>
    <s v="Raman"/>
  </r>
  <r>
    <s v="AMTZ160"/>
    <x v="4"/>
    <d v="2017-12-02T00:00:00"/>
    <n v="162"/>
    <s v="Finance"/>
    <s v="Kolkata"/>
    <s v="Word"/>
    <n v="18"/>
    <s v="Rajath"/>
  </r>
  <r>
    <s v="AMTZ161"/>
    <x v="4"/>
    <d v="2017-11-30T00:00:00"/>
    <n v="163"/>
    <s v="Finance"/>
    <s v="New Delhi"/>
    <s v="Power"/>
    <n v="30"/>
    <s v="Rajath"/>
  </r>
  <r>
    <s v="AMTZ162"/>
    <x v="5"/>
    <d v="2017-11-29T00:00:00"/>
    <n v="164"/>
    <s v="Finance"/>
    <s v="Bengaluru"/>
    <s v="Excel"/>
    <n v="24"/>
    <s v="Raman"/>
  </r>
  <r>
    <s v="AMTZ163"/>
    <x v="5"/>
    <d v="2017-11-28T00:00:00"/>
    <n v="165"/>
    <s v="Finance"/>
    <s v="Nagpur"/>
    <s v="PowerBI"/>
    <n v="24"/>
    <s v="Amar"/>
  </r>
  <r>
    <s v="AMTZ164"/>
    <x v="0"/>
    <d v="2017-11-30T00:00:00"/>
    <n v="166"/>
    <s v="Finance"/>
    <s v="New Delhi"/>
    <s v="Power"/>
    <n v="30"/>
    <s v="Rajath"/>
  </r>
  <r>
    <s v="AMTZ165"/>
    <x v="1"/>
    <d v="2017-11-30T00:00:00"/>
    <n v="167"/>
    <s v="Finance"/>
    <s v="New Delhi"/>
    <s v="Power"/>
    <n v="30"/>
    <s v="Rajath"/>
  </r>
  <r>
    <s v="AMTZ166"/>
    <x v="1"/>
    <d v="2017-11-30T00:00:00"/>
    <n v="168"/>
    <s v="Finance"/>
    <s v="New Delhi"/>
    <s v="Power"/>
    <n v="30"/>
    <s v="Rajath"/>
  </r>
  <r>
    <s v="AMTZ167"/>
    <x v="2"/>
    <d v="2017-11-30T00:00:00"/>
    <n v="169"/>
    <s v="Finance"/>
    <s v="New Delhi"/>
    <s v="Power"/>
    <n v="30"/>
    <s v="Rajath"/>
  </r>
  <r>
    <s v="AMTZ168"/>
    <x v="2"/>
    <d v="2017-11-30T00:00:00"/>
    <n v="170"/>
    <s v="Finance"/>
    <s v="New Delhi"/>
    <s v="Power"/>
    <n v="30"/>
    <s v="Rajath"/>
  </r>
  <r>
    <s v="AMTZ169"/>
    <x v="3"/>
    <d v="2017-11-30T00:00:00"/>
    <n v="171"/>
    <s v="Finance"/>
    <s v="New Delhi"/>
    <s v="Power"/>
    <n v="30"/>
    <s v="Rajath"/>
  </r>
  <r>
    <s v="AMTZ170"/>
    <x v="3"/>
    <d v="2017-11-30T00:00:00"/>
    <n v="172"/>
    <s v="Finance"/>
    <s v="New Delhi"/>
    <s v="Power"/>
    <n v="30"/>
    <s v="Rajath"/>
  </r>
  <r>
    <s v="AMTZ171"/>
    <x v="0"/>
    <d v="2017-11-30T00:00:00"/>
    <n v="173"/>
    <s v="Finance"/>
    <s v="New Delhi"/>
    <s v="Power"/>
    <n v="30"/>
    <s v="Rajath"/>
  </r>
  <r>
    <s v="AMTZ172"/>
    <x v="2"/>
    <d v="2018-01-01T00:00:00"/>
    <n v="174"/>
    <s v="Finance"/>
    <s v="Pune"/>
    <s v="VBA"/>
    <n v="8"/>
    <s v="Amar"/>
  </r>
  <r>
    <s v="AMTZ173"/>
    <x v="3"/>
    <d v="2017-12-15T00:00:00"/>
    <n v="175"/>
    <s v="Finance"/>
    <s v="New Delhi"/>
    <s v="Outlook"/>
    <n v="18"/>
    <s v="Rajath"/>
  </r>
  <r>
    <s v="AMTZ174"/>
    <x v="3"/>
    <d v="2017-12-06T00:00:00"/>
    <n v="176"/>
    <s v="Finance"/>
    <s v="Chennai"/>
    <s v="Office 365"/>
    <n v="25"/>
    <s v="Raman"/>
  </r>
  <r>
    <s v="AMTZ175"/>
    <x v="4"/>
    <d v="2017-12-02T00:00:00"/>
    <n v="177"/>
    <s v="Finance"/>
    <s v="Kolkata"/>
    <s v="Word"/>
    <n v="18"/>
    <s v="Rajath"/>
  </r>
  <r>
    <s v="AMTZ176"/>
    <x v="4"/>
    <d v="2017-11-30T00:00:00"/>
    <n v="178"/>
    <s v="Finance"/>
    <s v="New Delhi"/>
    <s v="Power"/>
    <n v="30"/>
    <s v="Rajath"/>
  </r>
  <r>
    <s v="AMTZ177"/>
    <x v="5"/>
    <d v="2017-11-29T00:00:00"/>
    <n v="179"/>
    <s v="Finance"/>
    <s v="Bengaluru"/>
    <s v="Excel"/>
    <n v="24"/>
    <s v="Raman"/>
  </r>
  <r>
    <s v="AMTZ178"/>
    <x v="5"/>
    <d v="2017-11-28T00:00:00"/>
    <n v="180"/>
    <s v="Finance"/>
    <s v="Nagpur"/>
    <s v="PowerBI"/>
    <n v="24"/>
    <s v="Amar"/>
  </r>
  <r>
    <s v="AMTZ179"/>
    <x v="0"/>
    <d v="2017-11-30T00:00:00"/>
    <n v="181"/>
    <s v="Finance"/>
    <s v="New Delhi"/>
    <s v="Power"/>
    <n v="30"/>
    <s v="Rajath"/>
  </r>
  <r>
    <s v="AMTZ180"/>
    <x v="1"/>
    <d v="2017-11-30T00:00:00"/>
    <n v="182"/>
    <s v="Finance"/>
    <s v="New Delhi"/>
    <s v="Power"/>
    <n v="30"/>
    <s v="Rajath"/>
  </r>
  <r>
    <s v="AMTZ181"/>
    <x v="1"/>
    <d v="2017-11-30T00:00:00"/>
    <n v="183"/>
    <s v="Finance"/>
    <s v="New Delhi"/>
    <s v="Power"/>
    <n v="30"/>
    <s v="Rajath"/>
  </r>
  <r>
    <s v="AMTZ182"/>
    <x v="2"/>
    <d v="2017-11-30T00:00:00"/>
    <n v="184"/>
    <s v="Finance"/>
    <s v="New Delhi"/>
    <s v="Power"/>
    <n v="30"/>
    <s v="Rajath"/>
  </r>
  <r>
    <s v="AMTZ183"/>
    <x v="2"/>
    <d v="2017-11-30T00:00:00"/>
    <n v="185"/>
    <s v="Finance"/>
    <s v="New Delhi"/>
    <s v="Power"/>
    <n v="30"/>
    <s v="Rajath"/>
  </r>
  <r>
    <s v="AMTZ184"/>
    <x v="3"/>
    <d v="2017-11-30T00:00:00"/>
    <n v="186"/>
    <s v="Finance"/>
    <s v="New Delhi"/>
    <s v="Power"/>
    <n v="30"/>
    <s v="Rajath"/>
  </r>
  <r>
    <s v="AMTZ185"/>
    <x v="3"/>
    <d v="2017-11-30T00:00:00"/>
    <n v="187"/>
    <s v="Finance"/>
    <s v="New Delhi"/>
    <s v="Power"/>
    <n v="30"/>
    <s v="Rajath"/>
  </r>
  <r>
    <s v="AMTZ186"/>
    <x v="0"/>
    <d v="2017-11-30T00:00:00"/>
    <n v="188"/>
    <s v="Finance"/>
    <s v="New Delhi"/>
    <s v="Power"/>
    <n v="30"/>
    <s v="Rajath"/>
  </r>
  <r>
    <s v="AMTZ187"/>
    <x v="2"/>
    <d v="2018-01-01T00:00:00"/>
    <n v="189"/>
    <s v="Finance"/>
    <s v="Pune"/>
    <s v="VBA"/>
    <n v="8"/>
    <s v="Amar"/>
  </r>
  <r>
    <s v="AMTZ188"/>
    <x v="3"/>
    <d v="2017-12-15T00:00:00"/>
    <n v="190"/>
    <s v="Finance"/>
    <s v="New Delhi"/>
    <s v="Outlook"/>
    <n v="18"/>
    <s v="Rajath"/>
  </r>
  <r>
    <s v="AMTZ189"/>
    <x v="3"/>
    <d v="2017-12-06T00:00:00"/>
    <n v="191"/>
    <s v="Finance"/>
    <s v="Chennai"/>
    <s v="Office 365"/>
    <n v="25"/>
    <s v="Raman"/>
  </r>
  <r>
    <s v="AMTZ190"/>
    <x v="4"/>
    <d v="2017-12-02T00:00:00"/>
    <n v="192"/>
    <s v="Finance"/>
    <s v="Kolkata"/>
    <s v="Word"/>
    <n v="18"/>
    <s v="Rajath"/>
  </r>
  <r>
    <s v="AMTZ191"/>
    <x v="4"/>
    <d v="2017-11-30T00:00:00"/>
    <n v="193"/>
    <s v="Finance"/>
    <s v="New Delhi"/>
    <s v="Power"/>
    <n v="30"/>
    <s v="Rajath"/>
  </r>
  <r>
    <s v="AMTZ192"/>
    <x v="5"/>
    <d v="2017-11-29T00:00:00"/>
    <n v="194"/>
    <s v="Finance"/>
    <s v="Bengaluru"/>
    <s v="Excel"/>
    <n v="24"/>
    <s v="Raman"/>
  </r>
  <r>
    <s v="AMTZ193"/>
    <x v="5"/>
    <d v="2017-11-28T00:00:00"/>
    <n v="195"/>
    <s v="Finance"/>
    <s v="Nagpur"/>
    <s v="PowerBI"/>
    <n v="24"/>
    <s v="Amar"/>
  </r>
  <r>
    <s v="AMTZ194"/>
    <x v="0"/>
    <d v="2017-11-30T00:00:00"/>
    <n v="196"/>
    <s v="Finance"/>
    <s v="New Delhi"/>
    <s v="Power"/>
    <n v="30"/>
    <s v="Rajath"/>
  </r>
  <r>
    <s v="AMTZ195"/>
    <x v="1"/>
    <d v="2017-11-30T00:00:00"/>
    <n v="197"/>
    <s v="Finance"/>
    <s v="New Delhi"/>
    <s v="Power"/>
    <n v="30"/>
    <s v="Rajath"/>
  </r>
  <r>
    <s v="AMTZ196"/>
    <x v="1"/>
    <d v="2017-11-30T00:00:00"/>
    <n v="198"/>
    <s v="Finance"/>
    <s v="New Delhi"/>
    <s v="Power"/>
    <n v="30"/>
    <s v="Rajath"/>
  </r>
  <r>
    <s v="AMTZ197"/>
    <x v="2"/>
    <d v="2017-11-30T00:00:00"/>
    <n v="199"/>
    <s v="Finance"/>
    <s v="New Delhi"/>
    <s v="Power"/>
    <n v="30"/>
    <s v="Rajath"/>
  </r>
  <r>
    <s v="AMTZ198"/>
    <x v="2"/>
    <d v="2017-11-30T00:00:00"/>
    <n v="200"/>
    <s v="Finance"/>
    <s v="New Delhi"/>
    <s v="Power"/>
    <n v="30"/>
    <s v="Rajath"/>
  </r>
  <r>
    <s v="AMTZ199"/>
    <x v="3"/>
    <d v="2017-11-30T00:00:00"/>
    <n v="201"/>
    <s v="Finance"/>
    <s v="New Delhi"/>
    <s v="Power"/>
    <n v="30"/>
    <s v="Rajath"/>
  </r>
  <r>
    <s v="AMTZ200"/>
    <x v="3"/>
    <d v="2017-11-30T00:00:00"/>
    <n v="202"/>
    <s v="Finance"/>
    <s v="New Delhi"/>
    <s v="Power"/>
    <n v="30"/>
    <s v="Rajath"/>
  </r>
  <r>
    <s v="AMTZ201"/>
    <x v="0"/>
    <d v="2017-11-30T00:00:00"/>
    <n v="203"/>
    <s v="Finance"/>
    <s v="New Delhi"/>
    <s v="Power"/>
    <n v="30"/>
    <s v="Rajath"/>
  </r>
  <r>
    <s v="AMTZ202"/>
    <x v="2"/>
    <d v="2018-01-01T00:00:00"/>
    <n v="204"/>
    <s v="Finance"/>
    <s v="Pune"/>
    <s v="VBA"/>
    <n v="8"/>
    <s v="Amar"/>
  </r>
  <r>
    <s v="AMTZ203"/>
    <x v="3"/>
    <d v="2017-12-15T00:00:00"/>
    <n v="205"/>
    <s v="Finance"/>
    <s v="New Delhi"/>
    <s v="Outlook"/>
    <n v="18"/>
    <s v="Rajath"/>
  </r>
  <r>
    <s v="AMTZ204"/>
    <x v="3"/>
    <d v="2017-12-06T00:00:00"/>
    <n v="206"/>
    <s v="Finance"/>
    <s v="Chennai"/>
    <s v="Office 365"/>
    <n v="25"/>
    <s v="Raman"/>
  </r>
  <r>
    <s v="AMTZ205"/>
    <x v="4"/>
    <d v="2017-12-02T00:00:00"/>
    <n v="207"/>
    <s v="Finance"/>
    <s v="Kolkata"/>
    <s v="Word"/>
    <n v="18"/>
    <s v="Rajath"/>
  </r>
  <r>
    <s v="AMTZ206"/>
    <x v="4"/>
    <d v="2017-11-30T00:00:00"/>
    <n v="208"/>
    <s v="Finance"/>
    <s v="New Delhi"/>
    <s v="Power"/>
    <n v="30"/>
    <s v="Rajath"/>
  </r>
  <r>
    <s v="AMTZ207"/>
    <x v="5"/>
    <d v="2017-11-29T00:00:00"/>
    <n v="209"/>
    <s v="Finance"/>
    <s v="Bengaluru"/>
    <s v="Excel"/>
    <n v="24"/>
    <s v="Raman"/>
  </r>
  <r>
    <s v="AMTZ208"/>
    <x v="5"/>
    <d v="2017-11-28T00:00:00"/>
    <n v="210"/>
    <s v="Finance"/>
    <s v="Nagpur"/>
    <s v="PowerBI"/>
    <n v="24"/>
    <s v="Amar"/>
  </r>
  <r>
    <s v="AMTZ209"/>
    <x v="0"/>
    <d v="2017-11-30T00:00:00"/>
    <n v="211"/>
    <s v="Finance"/>
    <s v="New Delhi"/>
    <s v="Power"/>
    <n v="30"/>
    <s v="Rajath"/>
  </r>
  <r>
    <s v="AMTZ210"/>
    <x v="1"/>
    <d v="2017-11-30T00:00:00"/>
    <n v="212"/>
    <s v="Finance"/>
    <s v="New Delhi"/>
    <s v="Power"/>
    <n v="30"/>
    <s v="Rajath"/>
  </r>
  <r>
    <s v="AMTZ211"/>
    <x v="1"/>
    <d v="2017-11-30T00:00:00"/>
    <n v="213"/>
    <s v="Finance"/>
    <s v="New Delhi"/>
    <s v="Power"/>
    <n v="30"/>
    <s v="Rajath"/>
  </r>
  <r>
    <s v="AMTZ212"/>
    <x v="2"/>
    <d v="2017-11-30T00:00:00"/>
    <n v="214"/>
    <s v="Finance"/>
    <s v="New Delhi"/>
    <s v="Power"/>
    <n v="30"/>
    <s v="Rajath"/>
  </r>
  <r>
    <s v="AMTZ213"/>
    <x v="2"/>
    <d v="2017-11-30T00:00:00"/>
    <n v="215"/>
    <s v="Finance"/>
    <s v="New Delhi"/>
    <s v="Power"/>
    <n v="30"/>
    <s v="Rajath"/>
  </r>
  <r>
    <s v="AMTZ214"/>
    <x v="3"/>
    <d v="2017-11-30T00:00:00"/>
    <n v="216"/>
    <s v="Finance"/>
    <s v="New Delhi"/>
    <s v="Power"/>
    <n v="30"/>
    <s v="Rajath"/>
  </r>
  <r>
    <s v="AMTZ215"/>
    <x v="3"/>
    <d v="2017-11-30T00:00:00"/>
    <n v="217"/>
    <s v="Finance"/>
    <s v="New Delhi"/>
    <s v="Power"/>
    <n v="30"/>
    <s v="Rajath"/>
  </r>
  <r>
    <s v="AMTZ216"/>
    <x v="0"/>
    <d v="2017-11-30T00:00:00"/>
    <n v="218"/>
    <s v="Finance"/>
    <s v="New Delhi"/>
    <s v="Power"/>
    <n v="30"/>
    <s v="Rajath"/>
  </r>
  <r>
    <s v="AMTZ217"/>
    <x v="2"/>
    <d v="2018-01-01T00:00:00"/>
    <n v="219"/>
    <s v="Finance"/>
    <s v="Pune"/>
    <s v="VBA"/>
    <n v="8"/>
    <s v="Amar"/>
  </r>
  <r>
    <s v="AMTZ218"/>
    <x v="3"/>
    <d v="2017-12-15T00:00:00"/>
    <n v="220"/>
    <s v="Finance"/>
    <s v="New Delhi"/>
    <s v="Outlook"/>
    <n v="18"/>
    <s v="Rajath"/>
  </r>
  <r>
    <s v="AMTZ219"/>
    <x v="3"/>
    <d v="2017-12-06T00:00:00"/>
    <n v="221"/>
    <s v="Finance"/>
    <s v="Chennai"/>
    <s v="Office 365"/>
    <n v="25"/>
    <s v="Raman"/>
  </r>
  <r>
    <s v="AMTZ220"/>
    <x v="4"/>
    <d v="2017-12-02T00:00:00"/>
    <n v="222"/>
    <s v="Finance"/>
    <s v="Kolkata"/>
    <s v="Word"/>
    <n v="18"/>
    <s v="Rajath"/>
  </r>
  <r>
    <s v="AMTZ221"/>
    <x v="4"/>
    <d v="2017-11-30T00:00:00"/>
    <n v="223"/>
    <s v="Finance"/>
    <s v="New Delhi"/>
    <s v="Power"/>
    <n v="30"/>
    <s v="Rajath"/>
  </r>
  <r>
    <s v="AMTZ222"/>
    <x v="5"/>
    <d v="2017-11-29T00:00:00"/>
    <n v="224"/>
    <s v="Finance"/>
    <s v="Bengaluru"/>
    <s v="Excel"/>
    <n v="24"/>
    <s v="Raman"/>
  </r>
  <r>
    <s v="AMTZ223"/>
    <x v="5"/>
    <d v="2017-11-28T00:00:00"/>
    <n v="225"/>
    <s v="Finance"/>
    <s v="Nagpur"/>
    <s v="PowerBI"/>
    <n v="24"/>
    <s v="Amar"/>
  </r>
  <r>
    <s v="AMTZ224"/>
    <x v="0"/>
    <d v="2017-11-30T00:00:00"/>
    <n v="226"/>
    <s v="Finance"/>
    <s v="New Delhi"/>
    <s v="Power"/>
    <n v="30"/>
    <s v="Rajath"/>
  </r>
  <r>
    <s v="AMTZ225"/>
    <x v="1"/>
    <d v="2017-11-30T00:00:00"/>
    <n v="227"/>
    <s v="Finance"/>
    <s v="New Delhi"/>
    <s v="Power"/>
    <n v="30"/>
    <s v="Rajath"/>
  </r>
  <r>
    <s v="AMTZ226"/>
    <x v="1"/>
    <d v="2017-11-30T00:00:00"/>
    <n v="228"/>
    <s v="Finance"/>
    <s v="New Delhi"/>
    <s v="Power"/>
    <n v="30"/>
    <s v="Rajath"/>
  </r>
  <r>
    <s v="AMTZ227"/>
    <x v="2"/>
    <d v="2017-11-30T00:00:00"/>
    <n v="229"/>
    <s v="Finance"/>
    <s v="New Delhi"/>
    <s v="Power"/>
    <n v="30"/>
    <s v="Rajath"/>
  </r>
  <r>
    <s v="AMTZ228"/>
    <x v="2"/>
    <d v="2017-11-30T00:00:00"/>
    <n v="230"/>
    <s v="Finance"/>
    <s v="New Delhi"/>
    <s v="Power"/>
    <n v="30"/>
    <s v="Rajath"/>
  </r>
  <r>
    <s v="AMTZ229"/>
    <x v="3"/>
    <d v="2017-11-30T00:00:00"/>
    <n v="231"/>
    <s v="Finance"/>
    <s v="New Delhi"/>
    <s v="Power"/>
    <n v="30"/>
    <s v="Rajath"/>
  </r>
  <r>
    <s v="AMTZ230"/>
    <x v="3"/>
    <d v="2017-11-30T00:00:00"/>
    <n v="232"/>
    <s v="Finance"/>
    <s v="New Delhi"/>
    <s v="Power"/>
    <n v="30"/>
    <s v="Rajath"/>
  </r>
  <r>
    <s v="AMTZ231"/>
    <x v="0"/>
    <d v="2018-11-30T00:00:00"/>
    <n v="233"/>
    <s v="Finance"/>
    <s v="New Delhi"/>
    <s v="Power"/>
    <n v="30"/>
    <s v="Rajath"/>
  </r>
  <r>
    <s v="AMTZ1"/>
    <x v="0"/>
    <d v="2018-12-30T00:00:00"/>
    <n v="1"/>
    <s v="Finance"/>
    <s v="Kolkata"/>
    <s v="Word"/>
    <n v="19"/>
    <s v="Rajath"/>
  </r>
  <r>
    <s v="AMTZ2"/>
    <x v="1"/>
    <d v="2018-12-25T00:00:00"/>
    <n v="2"/>
    <s v="Finance"/>
    <s v="New Delhi"/>
    <s v="Power"/>
    <n v="9"/>
    <s v="Rajath"/>
  </r>
  <r>
    <s v="AMTZ3"/>
    <x v="1"/>
    <d v="2018-12-25T00:00:00"/>
    <n v="3"/>
    <s v="Finance"/>
    <s v="Bengaluru"/>
    <s v="Excel"/>
    <n v="39"/>
    <s v="Raman"/>
  </r>
  <r>
    <s v="AMTZ4"/>
    <x v="2"/>
    <d v="2018-12-18T00:00:00"/>
    <n v="4"/>
    <s v="Finance"/>
    <s v="Nagpur"/>
    <s v="PowerBI"/>
    <n v="22"/>
    <s v="Amar"/>
  </r>
  <r>
    <s v="AMTZ5"/>
    <x v="2"/>
    <d v="2018-01-01T00:00:00"/>
    <n v="5"/>
    <s v="Finance"/>
    <s v="Pune"/>
    <s v="VBA"/>
    <n v="8"/>
    <s v="Amar"/>
  </r>
  <r>
    <s v="AMTZ5"/>
    <x v="3"/>
    <d v="2018-12-15T00:00:00"/>
    <n v="6"/>
    <s v="Finance"/>
    <s v="New Delhi"/>
    <s v="Outlook"/>
    <n v="18"/>
    <s v="Rajath"/>
  </r>
  <r>
    <s v="AMTZ6"/>
    <x v="3"/>
    <d v="2018-12-06T00:00:00"/>
    <n v="7"/>
    <s v="Finance"/>
    <s v="Chennai"/>
    <s v="Office 365"/>
    <n v="25"/>
    <s v="Raman"/>
  </r>
  <r>
    <s v="AMTZ7"/>
    <x v="4"/>
    <d v="2018-12-02T00:00:00"/>
    <n v="8"/>
    <s v="Finance"/>
    <s v="Kolkata"/>
    <s v="Word"/>
    <n v="18"/>
    <s v="Rajath"/>
  </r>
  <r>
    <s v="AMTZ8"/>
    <x v="4"/>
    <d v="2018-11-30T00:00:00"/>
    <n v="9"/>
    <s v="Finance"/>
    <s v="New Delhi"/>
    <s v="Power"/>
    <n v="30"/>
    <s v="Rajath"/>
  </r>
  <r>
    <s v="AMTZ9"/>
    <x v="5"/>
    <d v="2018-11-29T00:00:00"/>
    <n v="10"/>
    <s v="Finance"/>
    <s v="Bengaluru"/>
    <s v="Excel"/>
    <n v="24"/>
    <s v="Raman"/>
  </r>
  <r>
    <s v="AMTZ10"/>
    <x v="5"/>
    <d v="2018-11-28T00:00:00"/>
    <n v="11"/>
    <s v="Finance"/>
    <s v="Nagpur"/>
    <s v="PowerBI"/>
    <n v="24"/>
    <s v="Amar"/>
  </r>
  <r>
    <s v="AMTZ11"/>
    <x v="6"/>
    <d v="2018-11-20T00:00:00"/>
    <n v="12"/>
    <s v="Finance"/>
    <s v="Pune"/>
    <s v="VBA"/>
    <n v="17"/>
    <s v="Amar"/>
  </r>
  <r>
    <s v="AMTZ12"/>
    <x v="6"/>
    <d v="2018-11-19T00:00:00"/>
    <n v="13"/>
    <s v="Finance"/>
    <s v="Chennai"/>
    <s v="Outlook"/>
    <n v="11"/>
    <s v="Raman"/>
  </r>
  <r>
    <s v="AMTZ13"/>
    <x v="7"/>
    <d v="2018-11-16T00:00:00"/>
    <n v="14"/>
    <s v="Finance"/>
    <s v="Hyderabad"/>
    <s v="Office 365"/>
    <n v="33"/>
    <s v="Amar"/>
  </r>
  <r>
    <s v="AMTZ14"/>
    <x v="7"/>
    <d v="2018-11-13T00:00:00"/>
    <n v="15"/>
    <s v="Finance"/>
    <s v="Kolkata"/>
    <s v="Word"/>
    <n v="32"/>
    <s v="Rajath"/>
  </r>
  <r>
    <s v="AMTZ15"/>
    <x v="8"/>
    <d v="2018-11-10T00:00:00"/>
    <n v="16"/>
    <s v="Finance"/>
    <s v="New Delhi"/>
    <s v="Power"/>
    <n v="34"/>
    <s v="Rajath"/>
  </r>
  <r>
    <s v="AMTZ16"/>
    <x v="8"/>
    <d v="2018-11-02T00:00:00"/>
    <n v="17"/>
    <s v="Finance"/>
    <s v="Bengaluru"/>
    <s v="Excel"/>
    <n v="23"/>
    <s v="Raman"/>
  </r>
  <r>
    <s v="AMTZ17"/>
    <x v="9"/>
    <d v="2018-11-01T00:00:00"/>
    <n v="18"/>
    <s v="Finance"/>
    <s v="Nagpur"/>
    <s v="PowerBI"/>
    <n v="38"/>
    <s v="Amar"/>
  </r>
  <r>
    <s v="AMTZ18"/>
    <x v="9"/>
    <d v="2018-10-29T00:00:00"/>
    <n v="19"/>
    <s v="HR"/>
    <s v="Pune"/>
    <s v="VBA"/>
    <n v="39"/>
    <s v="Amar"/>
  </r>
  <r>
    <s v="AMTZ19"/>
    <x v="9"/>
    <d v="2018-10-29T00:00:00"/>
    <n v="20"/>
    <s v="HR"/>
    <s v="Chennai"/>
    <s v="Outlook"/>
    <n v="25"/>
    <s v="Raman"/>
  </r>
  <r>
    <s v="AMTZ20"/>
    <x v="10"/>
    <d v="2018-10-28T00:00:00"/>
    <n v="21"/>
    <s v="HR"/>
    <s v="Hyderabad"/>
    <s v="Office 365"/>
    <n v="36"/>
    <s v="Amar"/>
  </r>
  <r>
    <s v="AMTZ21"/>
    <x v="10"/>
    <d v="2018-10-26T00:00:00"/>
    <n v="22"/>
    <s v="HR"/>
    <s v="Kolkata"/>
    <s v="Word"/>
    <n v="28"/>
    <s v="Rajath"/>
  </r>
  <r>
    <s v="AMTZ22"/>
    <x v="11"/>
    <d v="2018-10-25T00:00:00"/>
    <n v="23"/>
    <s v="HR"/>
    <s v="New Delhi"/>
    <s v="Power"/>
    <n v="15"/>
    <s v="Rajath"/>
  </r>
  <r>
    <s v="AMTZ23"/>
    <x v="11"/>
    <d v="2018-10-24T00:00:00"/>
    <n v="24"/>
    <s v="HR"/>
    <s v="Bengaluru"/>
    <s v="Excel"/>
    <n v="34"/>
    <s v="Raman"/>
  </r>
  <r>
    <s v="AMTZ24"/>
    <x v="12"/>
    <d v="2018-10-20T00:00:00"/>
    <n v="25"/>
    <s v="HR"/>
    <s v="Nagpur"/>
    <s v="PowerBI"/>
    <n v="40"/>
    <s v="Amar"/>
  </r>
  <r>
    <s v="AMTZ25"/>
    <x v="12"/>
    <d v="2018-10-20T00:00:00"/>
    <n v="26"/>
    <s v="HR"/>
    <s v="Pune"/>
    <s v="VBA"/>
    <n v="14"/>
    <s v="Amar"/>
  </r>
  <r>
    <s v="AMTZ26"/>
    <x v="13"/>
    <d v="2018-10-19T00:00:00"/>
    <n v="27"/>
    <s v="HR"/>
    <s v="Chennai"/>
    <s v="Outlook"/>
    <n v="27"/>
    <s v="Raman"/>
  </r>
  <r>
    <s v="AMTZ27"/>
    <x v="13"/>
    <d v="2018-10-18T00:00:00"/>
    <n v="28"/>
    <s v="HR"/>
    <s v="Kolkata"/>
    <s v="Office 365"/>
    <n v="10"/>
    <s v="Rajath"/>
  </r>
  <r>
    <s v="AMTZ28"/>
    <x v="14"/>
    <d v="2018-10-16T00:00:00"/>
    <n v="29"/>
    <s v="HR"/>
    <s v="New Delhi"/>
    <s v="Word"/>
    <n v="32"/>
    <s v="Rajath"/>
  </r>
  <r>
    <s v="AMTZ29"/>
    <x v="14"/>
    <d v="2018-10-06T00:00:00"/>
    <n v="30"/>
    <s v="HR"/>
    <s v="Bengaluru"/>
    <s v="Power"/>
    <n v="21"/>
    <s v="Raman"/>
  </r>
  <r>
    <s v="AMTZ30"/>
    <x v="15"/>
    <d v="2018-10-05T00:00:00"/>
    <n v="31"/>
    <s v="HR"/>
    <s v="Nagpur"/>
    <s v="Excel"/>
    <n v="35"/>
    <s v="Amar"/>
  </r>
  <r>
    <s v="AMTZ31"/>
    <x v="15"/>
    <d v="2018-10-05T00:00:00"/>
    <n v="32"/>
    <s v="Admin"/>
    <s v="Pune"/>
    <s v="PowerBI"/>
    <n v="39"/>
    <s v="Amar"/>
  </r>
  <r>
    <s v="AMTZ32"/>
    <x v="16"/>
    <d v="2018-10-03T00:00:00"/>
    <n v="33"/>
    <s v="Admin"/>
    <s v="Chennai"/>
    <s v="VBA"/>
    <n v="19"/>
    <s v="Raman"/>
  </r>
  <r>
    <s v="AMTZ33"/>
    <x v="16"/>
    <d v="2018-09-29T00:00:00"/>
    <n v="34"/>
    <s v="Admin"/>
    <s v="Hyderabad"/>
    <s v="Outlook"/>
    <n v="32"/>
    <s v="Amar"/>
  </r>
  <r>
    <s v="AMTZ34"/>
    <x v="17"/>
    <d v="2018-09-27T00:00:00"/>
    <n v="35"/>
    <s v="Admin"/>
    <s v="Kolkata"/>
    <s v="Office 365"/>
    <n v="24"/>
    <s v="Rajath"/>
  </r>
  <r>
    <s v="AMTZ35"/>
    <x v="17"/>
    <d v="2018-09-27T00:00:00"/>
    <n v="36"/>
    <s v="Admin"/>
    <s v="New Delhi"/>
    <s v="Word"/>
    <n v="37"/>
    <s v="Rajath"/>
  </r>
  <r>
    <s v="AMTZ36"/>
    <x v="18"/>
    <d v="2018-09-22T00:00:00"/>
    <n v="37"/>
    <s v="Admin"/>
    <s v="Bengaluru"/>
    <s v="Power"/>
    <n v="23"/>
    <s v="Raman"/>
  </r>
  <r>
    <s v="AMTZ37"/>
    <x v="18"/>
    <d v="2018-09-22T00:00:00"/>
    <n v="38"/>
    <s v="Admin"/>
    <s v="Nagpur"/>
    <s v="Excel"/>
    <n v="34"/>
    <s v="Amar"/>
  </r>
  <r>
    <s v="AMTZ38"/>
    <x v="19"/>
    <d v="2018-09-21T00:00:00"/>
    <n v="39"/>
    <s v="Admin"/>
    <s v="Pune"/>
    <s v="PowerBI"/>
    <n v="16"/>
    <s v="Amar"/>
  </r>
  <r>
    <s v="AMTZ39"/>
    <x v="19"/>
    <d v="2018-09-15T00:00:00"/>
    <n v="40"/>
    <s v="Admin"/>
    <s v="Chennai"/>
    <s v="VBA"/>
    <n v="28"/>
    <s v="Raman"/>
  </r>
  <r>
    <s v="AMTZ40"/>
    <x v="20"/>
    <d v="2018-09-14T00:00:00"/>
    <n v="41"/>
    <s v="Admin"/>
    <s v="Hyderabad"/>
    <s v="Outlook"/>
    <n v="20"/>
    <s v="Amar"/>
  </r>
  <r>
    <s v="AMTZ41"/>
    <x v="20"/>
    <d v="2018-09-13T00:00:00"/>
    <n v="42"/>
    <s v="Admin"/>
    <s v="Kolkata"/>
    <s v="Office 365"/>
    <n v="27"/>
    <s v="Rajath"/>
  </r>
  <r>
    <s v="AMTZ42"/>
    <x v="21"/>
    <d v="2018-09-11T00:00:00"/>
    <n v="43"/>
    <s v="Admin"/>
    <s v="New Delhi"/>
    <s v="Word"/>
    <n v="32"/>
    <s v="Rajath"/>
  </r>
  <r>
    <s v="AMTZ43"/>
    <x v="21"/>
    <d v="2018-08-24T00:00:00"/>
    <n v="44"/>
    <s v="Admin"/>
    <s v="Bengaluru"/>
    <s v="Power"/>
    <n v="19"/>
    <s v="Raman"/>
  </r>
  <r>
    <s v="AMTZ44"/>
    <x v="22"/>
    <d v="2018-08-19T00:00:00"/>
    <n v="45"/>
    <s v="Admin"/>
    <s v="Nagpur"/>
    <s v="Excel"/>
    <n v="14"/>
    <s v="Amar"/>
  </r>
  <r>
    <s v="AMTZ45"/>
    <x v="22"/>
    <d v="2018-08-14T00:00:00"/>
    <n v="46"/>
    <s v="Admin"/>
    <s v="Pune"/>
    <s v="PowerBI"/>
    <n v="23"/>
    <s v="Amar"/>
  </r>
  <r>
    <s v="AMTZ46"/>
    <x v="23"/>
    <d v="2018-08-04T00:00:00"/>
    <n v="47"/>
    <s v="Admin"/>
    <s v="Chennai"/>
    <s v="Word"/>
    <n v="18"/>
    <s v="Raman"/>
  </r>
  <r>
    <s v="AMTZ47"/>
    <x v="23"/>
    <d v="2018-07-29T00:00:00"/>
    <n v="48"/>
    <s v="Admin"/>
    <s v="Kolkata"/>
    <s v="Power"/>
    <n v="20"/>
    <s v="Rajath"/>
  </r>
  <r>
    <s v="AMTZ48"/>
    <x v="24"/>
    <d v="2018-07-28T00:00:00"/>
    <n v="49"/>
    <s v="Finance"/>
    <s v="New Delhi"/>
    <s v="Excel"/>
    <n v="25"/>
    <s v="Rajath"/>
  </r>
  <r>
    <s v="AMTZ49"/>
    <x v="24"/>
    <d v="2018-07-27T00:00:00"/>
    <n v="50"/>
    <s v="Finance"/>
    <s v="Bengaluru"/>
    <s v="PowerBI"/>
    <n v="36"/>
    <s v="Raman"/>
  </r>
  <r>
    <s v="AMTZ50"/>
    <x v="25"/>
    <d v="2018-07-26T00:00:00"/>
    <n v="51"/>
    <s v="Finance"/>
    <s v="Nagpur"/>
    <s v="VBA"/>
    <n v="38"/>
    <s v="Amar"/>
  </r>
  <r>
    <s v="AMTZ51"/>
    <x v="25"/>
    <d v="2018-07-26T00:00:00"/>
    <n v="52"/>
    <s v="Finance"/>
    <s v="Pune"/>
    <s v="Outlook"/>
    <n v="18"/>
    <s v="Amar"/>
  </r>
  <r>
    <s v="AMTZ52"/>
    <x v="26"/>
    <d v="2018-07-24T00:00:00"/>
    <n v="53"/>
    <s v="Finance"/>
    <s v="Chennai"/>
    <s v="Office 365"/>
    <n v="12"/>
    <s v="Raman"/>
  </r>
  <r>
    <s v="AMTZ53"/>
    <x v="26"/>
    <d v="2018-07-20T00:00:00"/>
    <n v="54"/>
    <s v="Finance"/>
    <s v="Hyderabad"/>
    <s v="Word"/>
    <n v="32"/>
    <s v="Amar"/>
  </r>
  <r>
    <s v="AMTZ54"/>
    <x v="27"/>
    <d v="2018-07-17T00:00:00"/>
    <n v="55"/>
    <s v="Finance"/>
    <s v="Kolkata"/>
    <s v="Power"/>
    <n v="39"/>
    <s v="Rajath"/>
  </r>
  <r>
    <s v="AMTZ55"/>
    <x v="27"/>
    <d v="2018-07-14T00:00:00"/>
    <n v="56"/>
    <s v="Finance"/>
    <s v="New Delhi"/>
    <s v="Excel"/>
    <n v="39"/>
    <s v="Rajath"/>
  </r>
  <r>
    <s v="AMTZ56"/>
    <x v="28"/>
    <d v="2018-07-12T00:00:00"/>
    <n v="57"/>
    <s v="Finance"/>
    <s v="Bengaluru"/>
    <s v="PowerBI"/>
    <n v="30"/>
    <s v="Raman"/>
  </r>
  <r>
    <s v="AMTZ57"/>
    <x v="28"/>
    <d v="2018-07-12T00:00:00"/>
    <n v="58"/>
    <s v="Finance"/>
    <s v="Nagpur"/>
    <s v="VBA"/>
    <n v="24"/>
    <s v="Amar"/>
  </r>
  <r>
    <s v="AMTZ58"/>
    <x v="29"/>
    <d v="2018-07-04T00:00:00"/>
    <n v="59"/>
    <s v="Finance"/>
    <s v="Pune"/>
    <s v="Outlook"/>
    <n v="25"/>
    <s v="Amar"/>
  </r>
  <r>
    <s v="AMTZ59"/>
    <x v="29"/>
    <d v="2018-07-01T00:00:00"/>
    <n v="60"/>
    <s v="Finance"/>
    <s v="Chennai"/>
    <s v="Office 365"/>
    <n v="40"/>
    <s v="Raman"/>
  </r>
  <r>
    <s v="AMTZ60"/>
    <x v="30"/>
    <d v="2018-07-01T00:00:00"/>
    <n v="61"/>
    <s v="Finance"/>
    <s v="Hyderabad"/>
    <s v="Word"/>
    <n v="17"/>
    <s v="Amar"/>
  </r>
  <r>
    <s v="AMTZ61"/>
    <x v="30"/>
    <d v="2018-06-22T00:00:00"/>
    <n v="62"/>
    <s v="Finance"/>
    <s v="Kolkata"/>
    <s v="Power"/>
    <n v="38"/>
    <s v="Rajath"/>
  </r>
  <r>
    <s v="AMTZ62"/>
    <x v="31"/>
    <d v="2018-06-18T00:00:00"/>
    <n v="63"/>
    <s v="Finance"/>
    <s v="New Delhi"/>
    <s v="Excel"/>
    <n v="15"/>
    <s v="Rajath"/>
  </r>
  <r>
    <s v="AMTZ63"/>
    <x v="31"/>
    <d v="2018-06-17T00:00:00"/>
    <n v="64"/>
    <s v="Finance"/>
    <s v="Bengaluru"/>
    <s v="PowerBI"/>
    <n v="30"/>
    <s v="Raman"/>
  </r>
  <r>
    <s v="AMTZ64"/>
    <x v="32"/>
    <d v="2018-06-17T00:00:00"/>
    <n v="65"/>
    <s v="Finance"/>
    <s v="Nagpur"/>
    <s v="Word"/>
    <n v="31"/>
    <s v="Amar"/>
  </r>
  <r>
    <s v="AMTZ65"/>
    <x v="32"/>
    <d v="2018-06-15T00:00:00"/>
    <n v="66"/>
    <s v="Finance"/>
    <s v="Pune"/>
    <s v="Power"/>
    <n v="37"/>
    <s v="Amar"/>
  </r>
  <r>
    <s v="AMTZ66"/>
    <x v="33"/>
    <d v="2018-06-10T00:00:00"/>
    <n v="67"/>
    <s v="Finance"/>
    <s v="Chennai"/>
    <s v="Excel"/>
    <n v="11"/>
    <s v="Raman"/>
  </r>
  <r>
    <s v="AMTZ67"/>
    <x v="33"/>
    <d v="2018-06-05T00:00:00"/>
    <n v="68"/>
    <s v="Admin"/>
    <s v="Kolkata"/>
    <s v="PowerBI"/>
    <n v="31"/>
    <s v="Rajath"/>
  </r>
  <r>
    <s v="AMTZ68"/>
    <x v="34"/>
    <d v="2018-06-02T00:00:00"/>
    <n v="69"/>
    <s v="Admin"/>
    <s v="New Delhi"/>
    <s v="VBA"/>
    <n v="19"/>
    <s v="Rajath"/>
  </r>
  <r>
    <s v="AMTZ69"/>
    <x v="34"/>
    <d v="2018-06-01T00:00:00"/>
    <n v="70"/>
    <s v="Admin"/>
    <s v="Bengaluru"/>
    <s v="Outlook"/>
    <n v="33"/>
    <s v="Raman"/>
  </r>
  <r>
    <s v="AMTZ70"/>
    <x v="35"/>
    <d v="2018-05-25T00:00:00"/>
    <n v="71"/>
    <s v="Admin"/>
    <s v="Nagpur"/>
    <s v="Word"/>
    <n v="39"/>
    <s v="Amar"/>
  </r>
  <r>
    <s v="AMTZ71"/>
    <x v="35"/>
    <d v="2018-05-25T00:00:00"/>
    <n v="72"/>
    <s v="Admin"/>
    <s v="Pune"/>
    <s v="Power"/>
    <n v="15"/>
    <s v="Amar"/>
  </r>
  <r>
    <s v="AMTZ72"/>
    <x v="36"/>
    <d v="2018-05-25T00:00:00"/>
    <n v="73"/>
    <s v="HR"/>
    <s v="Chennai"/>
    <s v="Excel"/>
    <n v="28"/>
    <s v="Raman"/>
  </r>
  <r>
    <s v="AMTZ73"/>
    <x v="36"/>
    <d v="2018-05-24T00:00:00"/>
    <n v="74"/>
    <s v="HR"/>
    <s v="Hyderabad"/>
    <s v="PowerBI"/>
    <n v="9"/>
    <s v="Amar"/>
  </r>
  <r>
    <s v="AMTZ74"/>
    <x v="37"/>
    <d v="2018-05-23T00:00:00"/>
    <n v="75"/>
    <s v="HR"/>
    <s v="Kolkata"/>
    <s v="VBA"/>
    <n v="27"/>
    <s v="Rajath"/>
  </r>
  <r>
    <s v="AMTZ75"/>
    <x v="37"/>
    <d v="2018-05-20T00:00:00"/>
    <n v="76"/>
    <s v="HR"/>
    <s v="New Delhi"/>
    <s v="Word"/>
    <n v="21"/>
    <s v="Rajath"/>
  </r>
  <r>
    <s v="AMTZ76"/>
    <x v="38"/>
    <d v="2018-05-18T00:00:00"/>
    <n v="77"/>
    <s v="HR"/>
    <s v="Bengaluru"/>
    <s v="Power"/>
    <n v="35"/>
    <s v="Raman"/>
  </r>
  <r>
    <s v="AMTZ77"/>
    <x v="38"/>
    <d v="2018-05-17T00:00:00"/>
    <n v="78"/>
    <s v="HR"/>
    <s v="Nagpur"/>
    <s v="Excel"/>
    <n v="37"/>
    <s v="Amar"/>
  </r>
  <r>
    <s v="AMTZ78"/>
    <x v="39"/>
    <d v="2018-05-16T00:00:00"/>
    <n v="79"/>
    <s v="HR"/>
    <s v="Pune"/>
    <s v="PowerBI"/>
    <n v="13"/>
    <s v="Amar"/>
  </r>
  <r>
    <s v="AMTZ79"/>
    <x v="39"/>
    <d v="2018-05-15T00:00:00"/>
    <n v="80"/>
    <s v="HR"/>
    <s v="Chennai"/>
    <s v="VBA"/>
    <n v="22"/>
    <s v="Raman"/>
  </r>
  <r>
    <s v="AMTZ80"/>
    <x v="40"/>
    <d v="2018-05-15T00:00:00"/>
    <n v="81"/>
    <s v="HR"/>
    <s v="Hyderabad"/>
    <s v="Outlook"/>
    <n v="27"/>
    <s v="Amar"/>
  </r>
  <r>
    <s v="AMTZ81"/>
    <x v="40"/>
    <d v="2018-05-15T00:00:00"/>
    <n v="82"/>
    <s v="HR"/>
    <s v="Kolkata"/>
    <s v="Word"/>
    <n v="11"/>
    <s v="Rajath"/>
  </r>
  <r>
    <s v="AMTZ82"/>
    <x v="41"/>
    <d v="2018-05-14T00:00:00"/>
    <n v="83"/>
    <s v="HR"/>
    <s v="New Delhi"/>
    <s v="Power"/>
    <n v="21"/>
    <s v="Rajath"/>
  </r>
  <r>
    <s v="AMTZ83"/>
    <x v="41"/>
    <d v="2018-05-09T00:00:00"/>
    <n v="84"/>
    <s v="HR"/>
    <s v="Bengaluru"/>
    <s v="Excel"/>
    <n v="12"/>
    <s v="Raman"/>
  </r>
  <r>
    <s v="AMTZ84"/>
    <x v="42"/>
    <d v="2018-05-08T00:00:00"/>
    <n v="85"/>
    <s v="HR"/>
    <s v="Nagpur"/>
    <s v="PowerBI"/>
    <n v="15"/>
    <s v="Amar"/>
  </r>
  <r>
    <s v="AMTZ85"/>
    <x v="42"/>
    <d v="2018-05-04T00:00:00"/>
    <n v="86"/>
    <s v="HR"/>
    <s v="Pune"/>
    <s v="VBA"/>
    <n v="15"/>
    <s v="Amar"/>
  </r>
  <r>
    <s v="AMTZ86"/>
    <x v="43"/>
    <d v="2018-04-27T00:00:00"/>
    <n v="87"/>
    <s v="HR"/>
    <s v="Chennai"/>
    <s v="Outlook"/>
    <n v="29"/>
    <s v="Raman"/>
  </r>
  <r>
    <s v="AMTZ87"/>
    <x v="43"/>
    <d v="2018-04-26T00:00:00"/>
    <n v="88"/>
    <s v="HR"/>
    <s v="Kolkata"/>
    <s v="Word"/>
    <n v="20"/>
    <s v="Rajath"/>
  </r>
  <r>
    <s v="AMTZ88"/>
    <x v="44"/>
    <d v="2018-04-25T00:00:00"/>
    <n v="89"/>
    <s v="HR"/>
    <s v="New Delhi"/>
    <s v="Power"/>
    <n v="11"/>
    <s v="Rajath"/>
  </r>
  <r>
    <s v="AMTZ89"/>
    <x v="44"/>
    <d v="2018-04-24T00:00:00"/>
    <n v="90"/>
    <s v="HR"/>
    <s v="Bengaluru"/>
    <s v="Excel"/>
    <n v="31"/>
    <s v="Raman"/>
  </r>
  <r>
    <s v="AMTZ90"/>
    <x v="45"/>
    <d v="2018-04-17T00:00:00"/>
    <n v="91"/>
    <s v="HR"/>
    <s v="Nagpur"/>
    <s v="PowerBI"/>
    <n v="36"/>
    <s v="Amar"/>
  </r>
  <r>
    <s v="AMTZ91"/>
    <x v="45"/>
    <d v="2018-04-15T00:00:00"/>
    <n v="92"/>
    <s v="HR"/>
    <s v="Pune"/>
    <s v="VBA"/>
    <n v="35"/>
    <s v="Amar"/>
  </r>
  <r>
    <s v="AMTZ92"/>
    <x v="46"/>
    <d v="2018-04-14T00:00:00"/>
    <n v="93"/>
    <s v="HR"/>
    <s v="Chennai"/>
    <s v="Outlook"/>
    <n v="18"/>
    <s v="Raman"/>
  </r>
  <r>
    <s v="AMTZ93"/>
    <x v="46"/>
    <d v="2018-04-09T00:00:00"/>
    <n v="94"/>
    <s v="HR"/>
    <s v="Hyderabad"/>
    <s v="Word"/>
    <n v="11"/>
    <s v="Amar"/>
  </r>
  <r>
    <s v="AMTZ94"/>
    <x v="47"/>
    <d v="2018-04-08T00:00:00"/>
    <n v="95"/>
    <s v="HR"/>
    <s v="Kolkata"/>
    <s v="Power"/>
    <n v="10"/>
    <s v="Rajath"/>
  </r>
  <r>
    <s v="AMTZ95"/>
    <x v="47"/>
    <d v="2018-04-04T00:00:00"/>
    <n v="96"/>
    <s v="HR"/>
    <s v="New Delhi"/>
    <s v="Excel"/>
    <n v="19"/>
    <s v="Rajath"/>
  </r>
  <r>
    <s v="AMTZ96"/>
    <x v="48"/>
    <d v="2018-04-03T00:00:00"/>
    <n v="97"/>
    <s v="HR"/>
    <s v="Bengaluru"/>
    <s v="PowerBI"/>
    <n v="25"/>
    <s v="Raman"/>
  </r>
  <r>
    <s v="AMTZ97"/>
    <x v="48"/>
    <d v="2018-03-26T00:00:00"/>
    <n v="98"/>
    <s v="HR"/>
    <s v="Nagpur"/>
    <s v="VBA"/>
    <n v="23"/>
    <s v="Amar"/>
  </r>
  <r>
    <s v="AMTZ98"/>
    <x v="49"/>
    <d v="2018-03-25T00:00:00"/>
    <n v="99"/>
    <s v="HR"/>
    <s v="Pune"/>
    <s v="Outlook"/>
    <n v="39"/>
    <s v="Amar"/>
  </r>
  <r>
    <s v="AMTZ99"/>
    <x v="49"/>
    <d v="2018-03-22T00:00:00"/>
    <n v="100"/>
    <s v="Finance"/>
    <s v="Chennai"/>
    <s v="Office 365"/>
    <n v="34"/>
    <s v="Raman"/>
  </r>
  <r>
    <s v="AMTZ100"/>
    <x v="50"/>
    <d v="2018-03-22T00:00:00"/>
    <n v="101"/>
    <s v="Finance"/>
    <s v="Hyderabad"/>
    <s v="Word"/>
    <n v="11"/>
    <s v="Amar"/>
  </r>
  <r>
    <s v="AMTZ101"/>
    <x v="50"/>
    <d v="2018-03-21T00:00:00"/>
    <n v="102"/>
    <s v="Finance"/>
    <s v="Kolkata"/>
    <s v="Power"/>
    <n v="20"/>
    <s v="Rajath"/>
  </r>
  <r>
    <s v="AMTZ102"/>
    <x v="51"/>
    <d v="2018-03-09T00:00:00"/>
    <n v="103"/>
    <s v="Finance"/>
    <s v="New Delhi"/>
    <s v="Excel"/>
    <n v="19"/>
    <s v="Rajath"/>
  </r>
  <r>
    <s v="AMTZ103"/>
    <x v="51"/>
    <d v="2018-03-08T00:00:00"/>
    <n v="104"/>
    <s v="Finance"/>
    <s v="Bengaluru"/>
    <s v="PowerBI"/>
    <n v="33"/>
    <s v="Raman"/>
  </r>
  <r>
    <s v="AMTZ104"/>
    <x v="52"/>
    <d v="2018-03-04T00:00:00"/>
    <n v="105"/>
    <s v="Finance"/>
    <s v="Nagpur"/>
    <s v="VBA"/>
    <n v="33"/>
    <s v="Amar"/>
  </r>
  <r>
    <s v="AMTZ105"/>
    <x v="52"/>
    <d v="2018-03-03T00:00:00"/>
    <n v="106"/>
    <s v="Finance"/>
    <s v="Pune"/>
    <s v="Outlook"/>
    <n v="21"/>
    <s v="Amar"/>
  </r>
  <r>
    <s v="AMTZ106"/>
    <x v="53"/>
    <d v="2018-03-03T00:00:00"/>
    <n v="107"/>
    <s v="Finance"/>
    <s v="Chennai"/>
    <s v="Office 365"/>
    <n v="9"/>
    <s v="Raman"/>
  </r>
  <r>
    <s v="AMTZ107"/>
    <x v="53"/>
    <d v="2018-02-22T00:00:00"/>
    <n v="108"/>
    <s v="Finance"/>
    <s v="Kolkata"/>
    <s v="Word"/>
    <n v="19"/>
    <s v="Rajath"/>
  </r>
  <r>
    <s v="AMTZ108"/>
    <x v="54"/>
    <d v="2018-02-20T00:00:00"/>
    <n v="109"/>
    <s v="Finance"/>
    <s v="New Delhi"/>
    <s v="Power"/>
    <n v="27"/>
    <s v="Rajath"/>
  </r>
  <r>
    <s v="AMTZ109"/>
    <x v="54"/>
    <d v="2018-02-18T00:00:00"/>
    <n v="110"/>
    <s v="Finance"/>
    <s v="Bengaluru"/>
    <s v="Excel"/>
    <n v="15"/>
    <s v="Raman"/>
  </r>
  <r>
    <s v="AMTZ110"/>
    <x v="55"/>
    <d v="2018-02-14T00:00:00"/>
    <n v="111"/>
    <s v="Finance"/>
    <s v="Nagpur"/>
    <s v="PowerBI"/>
    <n v="28"/>
    <s v="Amar"/>
  </r>
  <r>
    <s v="AMTZ110"/>
    <x v="55"/>
    <d v="2018-02-14T00:00:00"/>
    <n v="112"/>
    <s v="Finance"/>
    <s v="New Delhi"/>
    <s v="VBA"/>
    <n v="25"/>
    <s v="Rajath"/>
  </r>
  <r>
    <s v="AMTZ111"/>
    <x v="56"/>
    <d v="2018-02-11T00:00:00"/>
    <n v="113"/>
    <s v="Finance"/>
    <s v="Pune"/>
    <s v="Outlook"/>
    <n v="21"/>
    <s v="Amar"/>
  </r>
  <r>
    <s v="AMTZ112"/>
    <x v="56"/>
    <d v="2018-02-09T00:00:00"/>
    <n v="114"/>
    <s v="Finance"/>
    <s v="Chennai"/>
    <s v="Office 365"/>
    <n v="40"/>
    <s v="Raman"/>
  </r>
  <r>
    <s v="AMTZ113"/>
    <x v="57"/>
    <d v="2018-02-03T00:00:00"/>
    <n v="115"/>
    <s v="Finance"/>
    <s v="Hyderabad"/>
    <s v="Word"/>
    <n v="19"/>
    <s v="Amar"/>
  </r>
  <r>
    <s v="AMTZ114"/>
    <x v="57"/>
    <d v="2018-02-02T00:00:00"/>
    <n v="116"/>
    <s v="Finance"/>
    <s v="Kolkata"/>
    <s v="Power"/>
    <n v="15"/>
    <s v="Rajath"/>
  </r>
  <r>
    <s v="AMTZ115"/>
    <x v="58"/>
    <d v="2018-02-01T00:00:00"/>
    <n v="117"/>
    <s v="Finance"/>
    <s v="New Delhi"/>
    <s v="Excel"/>
    <n v="30"/>
    <s v="Rajath"/>
  </r>
  <r>
    <s v="AMTZ116"/>
    <x v="58"/>
    <d v="2018-01-31T00:00:00"/>
    <n v="118"/>
    <s v="Admin"/>
    <s v="Bengaluru"/>
    <s v="PowerBI"/>
    <n v="31"/>
    <s v="Raman"/>
  </r>
  <r>
    <s v="AMTZ117"/>
    <x v="59"/>
    <d v="2018-01-29T00:00:00"/>
    <n v="119"/>
    <s v="Admin"/>
    <s v="Nagpur"/>
    <s v="VBA"/>
    <n v="24"/>
    <s v="Amar"/>
  </r>
  <r>
    <s v="AMTZ118"/>
    <x v="59"/>
    <d v="2018-01-22T00:00:00"/>
    <n v="120"/>
    <s v="Admin"/>
    <s v="Pune"/>
    <s v="Outlook"/>
    <n v="30"/>
    <s v="Amar"/>
  </r>
  <r>
    <s v="AMTZ119"/>
    <x v="60"/>
    <d v="2018-01-21T00:00:00"/>
    <n v="121"/>
    <s v="Admin"/>
    <s v="Chennai"/>
    <s v="Office 365"/>
    <n v="17"/>
    <s v="Raman"/>
  </r>
  <r>
    <s v="AMTZ120"/>
    <x v="60"/>
    <d v="2018-01-16T00:00:00"/>
    <n v="122"/>
    <s v="Admin"/>
    <s v="Hyderabad"/>
    <s v="Word"/>
    <n v="8"/>
    <s v="Amar"/>
  </r>
  <r>
    <s v="AMTZ121"/>
    <x v="61"/>
    <d v="2018-01-15T00:00:00"/>
    <n v="123"/>
    <s v="Admin"/>
    <s v="Kolkata"/>
    <s v="Power"/>
    <n v="10"/>
    <s v="Rajath"/>
  </r>
  <r>
    <s v="AMTZ122"/>
    <x v="61"/>
    <d v="2018-01-13T00:00:00"/>
    <n v="124"/>
    <s v="Admin"/>
    <s v="New Delhi"/>
    <s v="Excel"/>
    <n v="33"/>
    <s v="Rajath"/>
  </r>
  <r>
    <s v="AMTZ123"/>
    <x v="61"/>
    <d v="2018-01-13T00:00:00"/>
    <n v="125"/>
    <s v="Admin"/>
    <s v="Bengaluru"/>
    <s v="PowerBI"/>
    <n v="21"/>
    <s v="Raman"/>
  </r>
  <r>
    <s v="AMTZ124"/>
    <x v="62"/>
    <d v="2018-01-13T00:00:00"/>
    <n v="126"/>
    <s v="Admin"/>
    <s v="Nagpur"/>
    <s v="VBA"/>
    <n v="25"/>
    <s v="Amar"/>
  </r>
  <r>
    <s v="AMTZ125"/>
    <x v="62"/>
    <d v="2018-01-11T00:00:00"/>
    <n v="127"/>
    <s v="Admin"/>
    <s v="Pune"/>
    <s v="Outlook"/>
    <n v="37"/>
    <s v="Amar"/>
  </r>
  <r>
    <s v="AMTZ126"/>
    <x v="63"/>
    <d v="2018-01-11T00:00:00"/>
    <n v="128"/>
    <s v="Admin"/>
    <s v="Chennai"/>
    <s v="Office 365"/>
    <n v="8"/>
    <s v="Raman"/>
  </r>
  <r>
    <s v="AMTZ127"/>
    <x v="63"/>
    <d v="2018-01-10T00:00:00"/>
    <n v="129"/>
    <s v="Admin"/>
    <s v="Pune"/>
    <s v="Excel"/>
    <n v="26"/>
    <s v="Amar"/>
  </r>
  <r>
    <s v="AMTZ128"/>
    <x v="63"/>
    <d v="2018-01-07T00:00:00"/>
    <n v="130"/>
    <s v="Admin"/>
    <s v="Chennai"/>
    <s v="PowerBI"/>
    <n v="26"/>
    <s v="Raman"/>
  </r>
  <r>
    <s v="AMTZ128"/>
    <x v="63"/>
    <d v="2018-01-07T00:00:00"/>
    <n v="131"/>
    <s v="Admin"/>
    <s v="Chennai"/>
    <s v="PowerBI"/>
    <n v="26"/>
    <s v="Raman"/>
  </r>
  <r>
    <s v="customer unique"/>
    <x v="64"/>
    <d v="2018-01-07T00:00:00"/>
    <n v="132"/>
    <s v="Admin"/>
    <s v="Chennai"/>
    <s v="PowerBI"/>
    <n v="26"/>
    <s v="Raman"/>
  </r>
  <r>
    <s v="AMTZ135"/>
    <x v="62"/>
    <d v="2018-01-11T00:00:00"/>
    <n v="133"/>
    <s v="Admin"/>
    <s v="Pune"/>
    <s v="Outlook"/>
    <n v="37"/>
    <s v="Amar"/>
  </r>
  <r>
    <s v="AMTZ136"/>
    <x v="61"/>
    <d v="2018-01-11T00:00:00"/>
    <n v="134"/>
    <s v="Admin"/>
    <s v="Pune"/>
    <s v="Outlook"/>
    <n v="100"/>
    <s v="Amar"/>
  </r>
  <r>
    <s v="AMTZ137"/>
    <x v="61"/>
    <d v="2018-01-11T00:00:00"/>
    <n v="135"/>
    <s v="Admin"/>
    <s v="Pune"/>
    <s v="Outlook"/>
    <n v="100"/>
    <s v="Amar"/>
  </r>
  <r>
    <s v="AMTZ138"/>
    <x v="61"/>
    <d v="2018-01-11T00:00:00"/>
    <n v="136"/>
    <s v="Admin"/>
    <s v="Pune"/>
    <s v="Outlook"/>
    <n v="37"/>
    <s v="Amar"/>
  </r>
  <r>
    <s v="AMTZ139"/>
    <x v="63"/>
    <d v="2018-01-11T00:00:00"/>
    <n v="128"/>
    <s v="Admin"/>
    <s v="Chennai"/>
    <s v="Office 365"/>
    <n v="8"/>
    <s v="Raman"/>
  </r>
  <r>
    <s v="AMTZ140"/>
    <x v="63"/>
    <d v="2018-01-10T00:00:00"/>
    <n v="129"/>
    <s v="Admin"/>
    <s v="Pune"/>
    <s v="Excel"/>
    <n v="26"/>
    <s v="Amar"/>
  </r>
  <r>
    <s v="AMTZ141"/>
    <x v="63"/>
    <d v="2018-01-07T00:00:00"/>
    <n v="130"/>
    <s v="Admin"/>
    <s v="Chennai"/>
    <s v="PowerBI"/>
    <n v="26"/>
    <s v="Raman"/>
  </r>
  <r>
    <s v="AMTZ142"/>
    <x v="63"/>
    <d v="2018-01-07T00:00:00"/>
    <n v="131"/>
    <s v="Admin"/>
    <s v="Chennai"/>
    <s v="PowerBI"/>
    <n v="26"/>
    <s v="Raman"/>
  </r>
  <r>
    <s v="AMTZ135"/>
    <x v="62"/>
    <d v="2018-01-11T00:00:00"/>
    <n v="132"/>
    <s v="Admin"/>
    <s v="Chennai"/>
    <s v="Office 365"/>
    <n v="8"/>
    <s v="Raman"/>
  </r>
  <r>
    <s v="AMTZ135"/>
    <x v="62"/>
    <d v="2018-01-11T00:00:00"/>
    <n v="133"/>
    <s v="Admin"/>
    <s v="Chennai"/>
    <s v="Office 365"/>
    <n v="8"/>
    <s v="Raman"/>
  </r>
  <r>
    <s v="AMTZ135"/>
    <x v="62"/>
    <d v="2018-01-11T00:00:00"/>
    <n v="134"/>
    <s v="Admin"/>
    <s v="Chennai"/>
    <s v="Office 365"/>
    <n v="8"/>
    <s v="Raman"/>
  </r>
  <r>
    <s v="AMTZ135"/>
    <x v="62"/>
    <d v="2018-01-11T00:00:00"/>
    <n v="135"/>
    <s v="Admin"/>
    <s v="Chennai"/>
    <s v="Office 365"/>
    <n v="8"/>
    <s v="Raman"/>
  </r>
  <r>
    <s v="AMTZ135"/>
    <x v="62"/>
    <d v="2018-01-11T00:00:00"/>
    <n v="136"/>
    <s v="Admin"/>
    <s v="Chennai"/>
    <s v="Office 365"/>
    <n v="8"/>
    <s v="Raman"/>
  </r>
  <r>
    <s v="AMTZ135"/>
    <x v="62"/>
    <d v="2018-01-11T00:00:00"/>
    <n v="137"/>
    <s v="Admin"/>
    <s v="Chennai"/>
    <s v="Office 365"/>
    <n v="8"/>
    <s v="Raman"/>
  </r>
  <r>
    <s v="AMTZ135"/>
    <x v="62"/>
    <d v="2018-01-11T00:00:00"/>
    <n v="138"/>
    <s v="Admin"/>
    <s v="Chennai"/>
    <s v="Office 365"/>
    <n v="8"/>
    <s v="Raman"/>
  </r>
  <r>
    <s v="AMTZ136"/>
    <x v="62"/>
    <d v="2018-01-11T00:00:00"/>
    <n v="139"/>
    <s v="Admin"/>
    <s v="Chennai"/>
    <s v="Office 365"/>
    <n v="234"/>
    <s v="Raman"/>
  </r>
  <r>
    <s v="AMTZ137"/>
    <x v="0"/>
    <d v="2018-12-30T00:00:00"/>
    <n v="140"/>
    <s v="Finance"/>
    <s v="Kolkata"/>
    <s v="Word"/>
    <n v="19"/>
    <s v="Rajath"/>
  </r>
  <r>
    <s v="AMTZ138"/>
    <x v="1"/>
    <d v="2018-12-25T00:00:00"/>
    <n v="141"/>
    <s v="Finance"/>
    <s v="New Delhi"/>
    <s v="Power"/>
    <n v="9"/>
    <s v="Rajath"/>
  </r>
  <r>
    <s v="AMTZ139"/>
    <x v="1"/>
    <d v="2018-12-25T00:00:00"/>
    <n v="142"/>
    <s v="Finance"/>
    <s v="Bengaluru"/>
    <s v="Excel"/>
    <n v="39"/>
    <s v="Raman"/>
  </r>
  <r>
    <s v="AMTZ140"/>
    <x v="2"/>
    <d v="2018-12-18T00:00:00"/>
    <n v="143"/>
    <s v="Finance"/>
    <s v="Nagpur"/>
    <s v="PowerBI"/>
    <n v="22"/>
    <s v="Amar"/>
  </r>
  <r>
    <s v="AMTZ141"/>
    <x v="2"/>
    <d v="2018-01-01T00:00:00"/>
    <n v="144"/>
    <s v="Finance"/>
    <s v="Pune"/>
    <s v="VBA"/>
    <n v="8"/>
    <s v="Amar"/>
  </r>
  <r>
    <s v="AMTZ142"/>
    <x v="3"/>
    <d v="2018-12-15T00:00:00"/>
    <n v="145"/>
    <s v="Finance"/>
    <s v="New Delhi"/>
    <s v="Outlook"/>
    <n v="18"/>
    <s v="Rajath"/>
  </r>
  <r>
    <s v="AMTZ143"/>
    <x v="3"/>
    <d v="2018-12-06T00:00:00"/>
    <n v="146"/>
    <s v="Finance"/>
    <s v="Chennai"/>
    <s v="Office 365"/>
    <n v="25"/>
    <s v="Raman"/>
  </r>
  <r>
    <s v="AMTZ144"/>
    <x v="4"/>
    <d v="2018-12-02T00:00:00"/>
    <n v="147"/>
    <s v="Finance"/>
    <s v="Kolkata"/>
    <s v="Word"/>
    <n v="18"/>
    <s v="Rajath"/>
  </r>
  <r>
    <s v="AMTZ145"/>
    <x v="4"/>
    <d v="2018-11-30T00:00:00"/>
    <n v="148"/>
    <s v="Finance"/>
    <s v="New Delhi"/>
    <s v="Power"/>
    <n v="30"/>
    <s v="Rajath"/>
  </r>
  <r>
    <s v="AMTZ146"/>
    <x v="5"/>
    <d v="2018-11-29T00:00:00"/>
    <n v="149"/>
    <s v="Finance"/>
    <s v="Bengaluru"/>
    <s v="Excel"/>
    <n v="24"/>
    <s v="Raman"/>
  </r>
  <r>
    <s v="AMTZ147"/>
    <x v="5"/>
    <d v="2018-11-28T00:00:00"/>
    <n v="150"/>
    <s v="Finance"/>
    <s v="Nagpur"/>
    <s v="PowerBI"/>
    <n v="24"/>
    <s v="Amar"/>
  </r>
  <r>
    <s v="AMTZ148"/>
    <x v="0"/>
    <d v="2018-11-30T00:00:00"/>
    <n v="151"/>
    <s v="Finance"/>
    <s v="New Delhi"/>
    <s v="Power"/>
    <n v="30"/>
    <s v="Rajath"/>
  </r>
  <r>
    <s v="AMTZ149"/>
    <x v="1"/>
    <d v="2018-11-30T00:00:00"/>
    <n v="152"/>
    <s v="Finance"/>
    <s v="New Delhi"/>
    <s v="Power"/>
    <n v="30"/>
    <s v="Rajath"/>
  </r>
  <r>
    <s v="AMTZ150"/>
    <x v="1"/>
    <d v="2018-11-30T00:00:00"/>
    <n v="153"/>
    <s v="Finance"/>
    <s v="New Delhi"/>
    <s v="Power"/>
    <n v="30"/>
    <s v="Rajath"/>
  </r>
  <r>
    <s v="AMTZ151"/>
    <x v="2"/>
    <d v="2018-11-30T00:00:00"/>
    <n v="154"/>
    <s v="Finance"/>
    <s v="New Delhi"/>
    <s v="Power"/>
    <n v="30"/>
    <s v="Rajath"/>
  </r>
  <r>
    <s v="AMTZ152"/>
    <x v="2"/>
    <d v="2018-11-30T00:00:00"/>
    <n v="155"/>
    <s v="Finance"/>
    <s v="New Delhi"/>
    <s v="Power"/>
    <n v="30"/>
    <s v="Rajath"/>
  </r>
  <r>
    <s v="AMTZ153"/>
    <x v="3"/>
    <d v="2018-11-30T00:00:00"/>
    <n v="156"/>
    <s v="Finance"/>
    <s v="New Delhi"/>
    <s v="Power"/>
    <n v="30"/>
    <s v="Rajath"/>
  </r>
  <r>
    <s v="AMTZ154"/>
    <x v="3"/>
    <d v="2018-11-30T00:00:00"/>
    <n v="157"/>
    <s v="Finance"/>
    <s v="New Delhi"/>
    <s v="Power"/>
    <n v="30"/>
    <s v="Rajath"/>
  </r>
  <r>
    <s v="AMTZ155"/>
    <x v="0"/>
    <d v="2018-11-30T00:00:00"/>
    <n v="158"/>
    <s v="Finance"/>
    <s v="New Delhi"/>
    <s v="Power"/>
    <n v="30"/>
    <s v="Rajath"/>
  </r>
  <r>
    <s v="AMTZ156"/>
    <x v="65"/>
    <d v="2018-11-30T00:00:00"/>
    <n v="158"/>
    <s v="Finance"/>
    <s v="New Delhi"/>
    <s v="Power"/>
    <n v="26"/>
    <s v="Rajath"/>
  </r>
  <r>
    <s v="AMTZ157"/>
    <x v="2"/>
    <d v="2018-01-01T00:00:00"/>
    <n v="159"/>
    <s v="Finance"/>
    <s v="Pune"/>
    <s v="VBA"/>
    <n v="8"/>
    <s v="Amar"/>
  </r>
  <r>
    <s v="AMTZ158"/>
    <x v="3"/>
    <d v="2018-12-15T00:00:00"/>
    <n v="160"/>
    <s v="Finance"/>
    <s v="New Delhi"/>
    <s v="Outlook"/>
    <n v="18"/>
    <s v="Rajath"/>
  </r>
  <r>
    <s v="AMTZ159"/>
    <x v="3"/>
    <d v="2018-12-06T00:00:00"/>
    <n v="161"/>
    <s v="Finance"/>
    <s v="Chennai"/>
    <s v="Office 365"/>
    <n v="25"/>
    <s v="Raman"/>
  </r>
  <r>
    <s v="AMTZ160"/>
    <x v="4"/>
    <d v="2018-12-02T00:00:00"/>
    <n v="162"/>
    <s v="Finance"/>
    <s v="Kolkata"/>
    <s v="Word"/>
    <n v="18"/>
    <s v="Rajath"/>
  </r>
  <r>
    <s v="AMTZ161"/>
    <x v="4"/>
    <d v="2018-11-30T00:00:00"/>
    <n v="163"/>
    <s v="Finance"/>
    <s v="New Delhi"/>
    <s v="Power"/>
    <n v="30"/>
    <s v="Rajath"/>
  </r>
  <r>
    <s v="AMTZ162"/>
    <x v="5"/>
    <d v="2018-11-29T00:00:00"/>
    <n v="164"/>
    <s v="Finance"/>
    <s v="Bengaluru"/>
    <s v="Excel"/>
    <n v="24"/>
    <s v="Raman"/>
  </r>
  <r>
    <s v="AMTZ163"/>
    <x v="5"/>
    <d v="2018-11-28T00:00:00"/>
    <n v="165"/>
    <s v="Finance"/>
    <s v="Nagpur"/>
    <s v="PowerBI"/>
    <n v="24"/>
    <s v="Amar"/>
  </r>
  <r>
    <s v="AMTZ164"/>
    <x v="0"/>
    <d v="2018-11-30T00:00:00"/>
    <n v="166"/>
    <s v="Finance"/>
    <s v="New Delhi"/>
    <s v="Power"/>
    <n v="30"/>
    <s v="Rajath"/>
  </r>
  <r>
    <s v="AMTZ165"/>
    <x v="1"/>
    <d v="2018-11-30T00:00:00"/>
    <n v="167"/>
    <s v="Finance"/>
    <s v="New Delhi"/>
    <s v="Power"/>
    <n v="30"/>
    <s v="Rajath"/>
  </r>
  <r>
    <s v="AMTZ166"/>
    <x v="1"/>
    <d v="2018-11-30T00:00:00"/>
    <n v="168"/>
    <s v="Finance"/>
    <s v="New Delhi"/>
    <s v="Power"/>
    <n v="30"/>
    <s v="Rajath"/>
  </r>
  <r>
    <s v="AMTZ167"/>
    <x v="2"/>
    <d v="2018-11-30T00:00:00"/>
    <n v="169"/>
    <s v="Finance"/>
    <s v="New Delhi"/>
    <s v="Power"/>
    <n v="30"/>
    <s v="Rajath"/>
  </r>
  <r>
    <s v="AMTZ168"/>
    <x v="2"/>
    <d v="2018-11-30T00:00:00"/>
    <n v="170"/>
    <s v="Finance"/>
    <s v="New Delhi"/>
    <s v="Power"/>
    <n v="30"/>
    <s v="Rajath"/>
  </r>
  <r>
    <s v="AMTZ169"/>
    <x v="3"/>
    <d v="2018-11-30T00:00:00"/>
    <n v="171"/>
    <s v="Finance"/>
    <s v="New Delhi"/>
    <s v="Power"/>
    <n v="30"/>
    <s v="Rajath"/>
  </r>
  <r>
    <s v="AMTZ170"/>
    <x v="3"/>
    <d v="2018-11-30T00:00:00"/>
    <n v="172"/>
    <s v="Finance"/>
    <s v="New Delhi"/>
    <s v="Power"/>
    <n v="30"/>
    <s v="Rajath"/>
  </r>
  <r>
    <s v="AMTZ171"/>
    <x v="0"/>
    <d v="2018-11-30T00:00:00"/>
    <n v="173"/>
    <s v="Finance"/>
    <s v="New Delhi"/>
    <s v="Power"/>
    <n v="30"/>
    <s v="Rajath"/>
  </r>
  <r>
    <s v="AMTZ172"/>
    <x v="2"/>
    <d v="2018-01-01T00:00:00"/>
    <n v="174"/>
    <s v="Finance"/>
    <s v="Pune"/>
    <s v="VBA"/>
    <n v="8"/>
    <s v="Amar"/>
  </r>
  <r>
    <s v="AMTZ173"/>
    <x v="3"/>
    <d v="2018-12-15T00:00:00"/>
    <n v="175"/>
    <s v="Finance"/>
    <s v="New Delhi"/>
    <s v="Outlook"/>
    <n v="18"/>
    <s v="Rajath"/>
  </r>
  <r>
    <s v="AMTZ174"/>
    <x v="3"/>
    <d v="2018-12-06T00:00:00"/>
    <n v="176"/>
    <s v="Finance"/>
    <s v="Chennai"/>
    <s v="Office 365"/>
    <n v="25"/>
    <s v="Raman"/>
  </r>
  <r>
    <s v="AMTZ175"/>
    <x v="4"/>
    <d v="2018-12-02T00:00:00"/>
    <n v="177"/>
    <s v="Finance"/>
    <s v="Kolkata"/>
    <s v="Word"/>
    <n v="18"/>
    <s v="Rajath"/>
  </r>
  <r>
    <s v="AMTZ176"/>
    <x v="4"/>
    <d v="2018-11-30T00:00:00"/>
    <n v="178"/>
    <s v="Finance"/>
    <s v="New Delhi"/>
    <s v="Power"/>
    <n v="30"/>
    <s v="Rajath"/>
  </r>
  <r>
    <s v="AMTZ177"/>
    <x v="5"/>
    <d v="2018-11-29T00:00:00"/>
    <n v="179"/>
    <s v="Finance"/>
    <s v="Bengaluru"/>
    <s v="Excel"/>
    <n v="24"/>
    <s v="Raman"/>
  </r>
  <r>
    <s v="AMTZ178"/>
    <x v="5"/>
    <d v="2018-11-28T00:00:00"/>
    <n v="180"/>
    <s v="Finance"/>
    <s v="Nagpur"/>
    <s v="PowerBI"/>
    <n v="24"/>
    <s v="Amar"/>
  </r>
  <r>
    <s v="AMTZ179"/>
    <x v="0"/>
    <d v="2018-11-30T00:00:00"/>
    <n v="181"/>
    <s v="Finance"/>
    <s v="New Delhi"/>
    <s v="Power"/>
    <n v="30"/>
    <s v="Rajath"/>
  </r>
  <r>
    <s v="AMTZ180"/>
    <x v="1"/>
    <d v="2018-11-30T00:00:00"/>
    <n v="182"/>
    <s v="Finance"/>
    <s v="New Delhi"/>
    <s v="Power"/>
    <n v="30"/>
    <s v="Rajath"/>
  </r>
  <r>
    <s v="AMTZ181"/>
    <x v="1"/>
    <d v="2018-11-30T00:00:00"/>
    <n v="183"/>
    <s v="Finance"/>
    <s v="New Delhi"/>
    <s v="Power"/>
    <n v="30"/>
    <s v="Rajath"/>
  </r>
  <r>
    <s v="AMTZ182"/>
    <x v="2"/>
    <d v="2018-11-30T00:00:00"/>
    <n v="184"/>
    <s v="Finance"/>
    <s v="New Delhi"/>
    <s v="Power"/>
    <n v="30"/>
    <s v="Rajath"/>
  </r>
  <r>
    <s v="AMTZ183"/>
    <x v="2"/>
    <d v="2018-11-30T00:00:00"/>
    <n v="185"/>
    <s v="Finance"/>
    <s v="New Delhi"/>
    <s v="Power"/>
    <n v="30"/>
    <s v="Rajath"/>
  </r>
  <r>
    <s v="AMTZ184"/>
    <x v="3"/>
    <d v="2018-11-30T00:00:00"/>
    <n v="186"/>
    <s v="Finance"/>
    <s v="New Delhi"/>
    <s v="Power"/>
    <n v="30"/>
    <s v="Rajath"/>
  </r>
  <r>
    <s v="AMTZ185"/>
    <x v="3"/>
    <d v="2018-11-30T00:00:00"/>
    <n v="187"/>
    <s v="Finance"/>
    <s v="New Delhi"/>
    <s v="Power"/>
    <n v="30"/>
    <s v="Rajath"/>
  </r>
  <r>
    <s v="AMTZ186"/>
    <x v="0"/>
    <d v="2018-11-30T00:00:00"/>
    <n v="188"/>
    <s v="Finance"/>
    <s v="New Delhi"/>
    <s v="Power"/>
    <n v="30"/>
    <s v="Rajath"/>
  </r>
  <r>
    <s v="AMTZ187"/>
    <x v="2"/>
    <d v="2018-01-01T00:00:00"/>
    <n v="189"/>
    <s v="Finance"/>
    <s v="Pune"/>
    <s v="VBA"/>
    <n v="8"/>
    <s v="Amar"/>
  </r>
  <r>
    <s v="AMTZ188"/>
    <x v="3"/>
    <d v="2018-12-15T00:00:00"/>
    <n v="190"/>
    <s v="Finance"/>
    <s v="New Delhi"/>
    <s v="Outlook"/>
    <n v="18"/>
    <s v="Rajath"/>
  </r>
  <r>
    <s v="AMTZ189"/>
    <x v="3"/>
    <d v="2018-12-06T00:00:00"/>
    <n v="191"/>
    <s v="Finance"/>
    <s v="Chennai"/>
    <s v="Office 365"/>
    <n v="25"/>
    <s v="Raman"/>
  </r>
  <r>
    <s v="AMTZ190"/>
    <x v="4"/>
    <d v="2018-12-02T00:00:00"/>
    <n v="192"/>
    <s v="Finance"/>
    <s v="Kolkata"/>
    <s v="Word"/>
    <n v="18"/>
    <s v="Rajath"/>
  </r>
  <r>
    <s v="AMTZ191"/>
    <x v="4"/>
    <d v="2018-11-30T00:00:00"/>
    <n v="193"/>
    <s v="Finance"/>
    <s v="New Delhi"/>
    <s v="Power"/>
    <n v="30"/>
    <s v="Rajath"/>
  </r>
  <r>
    <s v="AMTZ192"/>
    <x v="5"/>
    <d v="2018-11-29T00:00:00"/>
    <n v="194"/>
    <s v="Finance"/>
    <s v="Bengaluru"/>
    <s v="Excel"/>
    <n v="24"/>
    <s v="Raman"/>
  </r>
  <r>
    <s v="AMTZ193"/>
    <x v="5"/>
    <d v="2018-11-28T00:00:00"/>
    <n v="195"/>
    <s v="Finance"/>
    <s v="Nagpur"/>
    <s v="PowerBI"/>
    <n v="24"/>
    <s v="Amar"/>
  </r>
  <r>
    <s v="AMTZ194"/>
    <x v="0"/>
    <d v="2018-11-30T00:00:00"/>
    <n v="196"/>
    <s v="Finance"/>
    <s v="New Delhi"/>
    <s v="Power"/>
    <n v="30"/>
    <s v="Rajath"/>
  </r>
  <r>
    <s v="AMTZ195"/>
    <x v="1"/>
    <d v="2018-11-30T00:00:00"/>
    <n v="197"/>
    <s v="Finance"/>
    <s v="New Delhi"/>
    <s v="Power"/>
    <n v="30"/>
    <s v="Rajath"/>
  </r>
  <r>
    <s v="AMTZ196"/>
    <x v="1"/>
    <d v="2018-11-30T00:00:00"/>
    <n v="198"/>
    <s v="Finance"/>
    <s v="New Delhi"/>
    <s v="Power"/>
    <n v="30"/>
    <s v="Rajath"/>
  </r>
  <r>
    <s v="AMTZ197"/>
    <x v="2"/>
    <d v="2018-11-30T00:00:00"/>
    <n v="199"/>
    <s v="Finance"/>
    <s v="New Delhi"/>
    <s v="Power"/>
    <n v="30"/>
    <s v="Rajath"/>
  </r>
  <r>
    <s v="AMTZ198"/>
    <x v="2"/>
    <d v="2018-11-30T00:00:00"/>
    <n v="200"/>
    <s v="Finance"/>
    <s v="New Delhi"/>
    <s v="Power"/>
    <n v="30"/>
    <s v="Rajath"/>
  </r>
  <r>
    <s v="AMTZ199"/>
    <x v="3"/>
    <d v="2018-11-30T00:00:00"/>
    <n v="201"/>
    <s v="Finance"/>
    <s v="New Delhi"/>
    <s v="Power"/>
    <n v="30"/>
    <s v="Rajath"/>
  </r>
  <r>
    <s v="AMTZ200"/>
    <x v="3"/>
    <d v="2018-11-30T00:00:00"/>
    <n v="202"/>
    <s v="Finance"/>
    <s v="New Delhi"/>
    <s v="Power"/>
    <n v="30"/>
    <s v="Rajath"/>
  </r>
  <r>
    <s v="AMTZ201"/>
    <x v="0"/>
    <d v="2018-11-30T00:00:00"/>
    <n v="203"/>
    <s v="Finance"/>
    <s v="New Delhi"/>
    <s v="Power"/>
    <n v="30"/>
    <s v="Rajath"/>
  </r>
  <r>
    <s v="AMTZ202"/>
    <x v="2"/>
    <d v="2018-01-01T00:00:00"/>
    <n v="204"/>
    <s v="Finance"/>
    <s v="Pune"/>
    <s v="VBA"/>
    <n v="8"/>
    <s v="Amar"/>
  </r>
  <r>
    <s v="AMTZ203"/>
    <x v="3"/>
    <d v="2018-12-15T00:00:00"/>
    <n v="205"/>
    <s v="Finance"/>
    <s v="New Delhi"/>
    <s v="Outlook"/>
    <n v="18"/>
    <s v="Rajath"/>
  </r>
  <r>
    <s v="AMTZ204"/>
    <x v="3"/>
    <d v="2018-12-06T00:00:00"/>
    <n v="206"/>
    <s v="Finance"/>
    <s v="Chennai"/>
    <s v="Office 365"/>
    <n v="25"/>
    <s v="Raman"/>
  </r>
  <r>
    <s v="AMTZ205"/>
    <x v="4"/>
    <d v="2018-12-02T00:00:00"/>
    <n v="207"/>
    <s v="Finance"/>
    <s v="Kolkata"/>
    <s v="Word"/>
    <n v="18"/>
    <s v="Rajath"/>
  </r>
  <r>
    <s v="AMTZ206"/>
    <x v="4"/>
    <d v="2018-11-30T00:00:00"/>
    <n v="208"/>
    <s v="Finance"/>
    <s v="New Delhi"/>
    <s v="Power"/>
    <n v="30"/>
    <s v="Rajath"/>
  </r>
  <r>
    <s v="AMTZ207"/>
    <x v="5"/>
    <d v="2018-11-29T00:00:00"/>
    <n v="209"/>
    <s v="Finance"/>
    <s v="Bengaluru"/>
    <s v="Excel"/>
    <n v="24"/>
    <s v="Raman"/>
  </r>
  <r>
    <s v="AMTZ208"/>
    <x v="5"/>
    <d v="2018-11-28T00:00:00"/>
    <n v="210"/>
    <s v="Finance"/>
    <s v="Nagpur"/>
    <s v="PowerBI"/>
    <n v="24"/>
    <s v="Amar"/>
  </r>
  <r>
    <s v="AMTZ209"/>
    <x v="0"/>
    <d v="2018-11-30T00:00:00"/>
    <n v="211"/>
    <s v="Finance"/>
    <s v="New Delhi"/>
    <s v="Power"/>
    <n v="30"/>
    <s v="Rajath"/>
  </r>
  <r>
    <s v="AMTZ210"/>
    <x v="1"/>
    <d v="2018-11-30T00:00:00"/>
    <n v="212"/>
    <s v="Finance"/>
    <s v="New Delhi"/>
    <s v="Power"/>
    <n v="30"/>
    <s v="Rajath"/>
  </r>
  <r>
    <s v="AMTZ211"/>
    <x v="1"/>
    <d v="2018-11-30T00:00:00"/>
    <n v="213"/>
    <s v="Finance"/>
    <s v="New Delhi"/>
    <s v="Power"/>
    <n v="30"/>
    <s v="Rajath"/>
  </r>
  <r>
    <s v="AMTZ212"/>
    <x v="2"/>
    <d v="2018-11-30T00:00:00"/>
    <n v="214"/>
    <s v="Finance"/>
    <s v="New Delhi"/>
    <s v="Power"/>
    <n v="30"/>
    <s v="Rajath"/>
  </r>
  <r>
    <s v="AMTZ213"/>
    <x v="2"/>
    <d v="2018-11-30T00:00:00"/>
    <n v="215"/>
    <s v="Finance"/>
    <s v="New Delhi"/>
    <s v="Power"/>
    <n v="30"/>
    <s v="Rajath"/>
  </r>
  <r>
    <s v="AMTZ214"/>
    <x v="3"/>
    <d v="2018-11-30T00:00:00"/>
    <n v="216"/>
    <s v="Finance"/>
    <s v="New Delhi"/>
    <s v="Power"/>
    <n v="30"/>
    <s v="Rajath"/>
  </r>
  <r>
    <s v="AMTZ215"/>
    <x v="3"/>
    <d v="2018-11-30T00:00:00"/>
    <n v="217"/>
    <s v="Finance"/>
    <s v="New Delhi"/>
    <s v="Power"/>
    <n v="30"/>
    <s v="Rajath"/>
  </r>
  <r>
    <s v="AMTZ216"/>
    <x v="0"/>
    <d v="2018-11-30T00:00:00"/>
    <n v="218"/>
    <s v="Finance"/>
    <s v="New Delhi"/>
    <s v="Power"/>
    <n v="30"/>
    <s v="Rajath"/>
  </r>
  <r>
    <s v="AMTZ217"/>
    <x v="2"/>
    <d v="2018-01-01T00:00:00"/>
    <n v="219"/>
    <s v="Finance"/>
    <s v="Pune"/>
    <s v="VBA"/>
    <n v="8"/>
    <s v="Amar"/>
  </r>
  <r>
    <s v="AMTZ218"/>
    <x v="3"/>
    <d v="2018-12-15T00:00:00"/>
    <n v="220"/>
    <s v="Finance"/>
    <s v="New Delhi"/>
    <s v="Outlook"/>
    <n v="18"/>
    <s v="Rajath"/>
  </r>
  <r>
    <s v="AMTZ219"/>
    <x v="3"/>
    <d v="2018-12-06T00:00:00"/>
    <n v="221"/>
    <s v="Finance"/>
    <s v="Chennai"/>
    <s v="Office 365"/>
    <n v="25"/>
    <s v="Raman"/>
  </r>
  <r>
    <s v="AMTZ220"/>
    <x v="4"/>
    <d v="2018-12-02T00:00:00"/>
    <n v="222"/>
    <s v="Finance"/>
    <s v="Kolkata"/>
    <s v="Word"/>
    <n v="18"/>
    <s v="Rajath"/>
  </r>
  <r>
    <s v="AMTZ221"/>
    <x v="4"/>
    <d v="2018-11-30T00:00:00"/>
    <n v="223"/>
    <s v="Finance"/>
    <s v="New Delhi"/>
    <s v="Power"/>
    <n v="30"/>
    <s v="Rajath"/>
  </r>
  <r>
    <s v="AMTZ222"/>
    <x v="5"/>
    <d v="2018-11-29T00:00:00"/>
    <n v="224"/>
    <s v="Finance"/>
    <s v="Bengaluru"/>
    <s v="Excel"/>
    <n v="24"/>
    <s v="Raman"/>
  </r>
  <r>
    <s v="AMTZ223"/>
    <x v="5"/>
    <d v="2018-11-28T00:00:00"/>
    <n v="225"/>
    <s v="Finance"/>
    <s v="Nagpur"/>
    <s v="PowerBI"/>
    <n v="24"/>
    <s v="Amar"/>
  </r>
  <r>
    <s v="AMTZ224"/>
    <x v="0"/>
    <d v="2018-11-30T00:00:00"/>
    <n v="226"/>
    <s v="Finance"/>
    <s v="New Delhi"/>
    <s v="Power"/>
    <n v="30"/>
    <s v="Rajath"/>
  </r>
  <r>
    <s v="AMTZ225"/>
    <x v="1"/>
    <d v="2018-11-30T00:00:00"/>
    <n v="227"/>
    <s v="Finance"/>
    <s v="New Delhi"/>
    <s v="Power"/>
    <n v="30"/>
    <s v="Rajath"/>
  </r>
  <r>
    <s v="AMTZ226"/>
    <x v="1"/>
    <d v="2018-11-30T00:00:00"/>
    <n v="228"/>
    <s v="Finance"/>
    <s v="New Delhi"/>
    <s v="Power"/>
    <n v="30"/>
    <s v="Rajath"/>
  </r>
  <r>
    <s v="AMTZ227"/>
    <x v="2"/>
    <d v="2018-11-30T00:00:00"/>
    <n v="229"/>
    <s v="Finance"/>
    <s v="New Delhi"/>
    <s v="Power"/>
    <n v="30"/>
    <s v="Rajath"/>
  </r>
  <r>
    <s v="AMTZ228"/>
    <x v="2"/>
    <d v="2018-11-30T00:00:00"/>
    <n v="230"/>
    <s v="Finance"/>
    <s v="New Delhi"/>
    <s v="Power"/>
    <n v="30"/>
    <s v="Rajath"/>
  </r>
  <r>
    <s v="AMTZ229"/>
    <x v="3"/>
    <d v="2018-11-30T00:00:00"/>
    <n v="231"/>
    <s v="Finance"/>
    <s v="New Delhi"/>
    <s v="Power"/>
    <n v="30"/>
    <s v="Rajath"/>
  </r>
  <r>
    <s v="AMTZ230"/>
    <x v="3"/>
    <d v="2018-11-30T00:00:00"/>
    <n v="232"/>
    <s v="Finance"/>
    <s v="New Delhi"/>
    <s v="Power"/>
    <n v="30"/>
    <s v="Rajath"/>
  </r>
  <r>
    <s v="AMTZ231"/>
    <x v="0"/>
    <d v="2018-11-30T00:00:00"/>
    <n v="233"/>
    <s v="Finance"/>
    <s v="New Delhi"/>
    <s v="Power"/>
    <n v="30"/>
    <s v="Rajath"/>
  </r>
  <r>
    <s v="AMTZ214"/>
    <x v="3"/>
    <d v="2019-11-30T00:00:00"/>
    <n v="216"/>
    <s v="Finance"/>
    <s v="New Delhi"/>
    <s v="Power"/>
    <n v="30"/>
    <s v="Rajath"/>
  </r>
  <r>
    <s v="AMTZ215"/>
    <x v="3"/>
    <d v="2019-11-30T00:00:00"/>
    <n v="217"/>
    <s v="Finance"/>
    <s v="New Delhi"/>
    <s v="Power"/>
    <n v="30"/>
    <s v="Rajath"/>
  </r>
  <r>
    <s v="AMTZ216"/>
    <x v="0"/>
    <d v="2019-11-30T00:00:00"/>
    <n v="218"/>
    <s v="Finance"/>
    <s v="New Delhi"/>
    <s v="Power"/>
    <n v="30"/>
    <s v="Rajath"/>
  </r>
  <r>
    <s v="AMTZ217"/>
    <x v="2"/>
    <d v="2019-01-01T00:00:00"/>
    <n v="219"/>
    <s v="Finance"/>
    <s v="Pune"/>
    <s v="VBA"/>
    <n v="8"/>
    <s v="Amar"/>
  </r>
  <r>
    <s v="AMTZ218"/>
    <x v="3"/>
    <d v="2019-12-15T00:00:00"/>
    <n v="220"/>
    <s v="Finance"/>
    <s v="New Delhi"/>
    <s v="Outlook"/>
    <n v="18"/>
    <s v="Rajath"/>
  </r>
  <r>
    <s v="AMTZ219"/>
    <x v="3"/>
    <d v="2019-12-06T00:00:00"/>
    <n v="221"/>
    <s v="Finance"/>
    <s v="Chennai"/>
    <s v="Office 365"/>
    <n v="25"/>
    <s v="Raman"/>
  </r>
  <r>
    <s v="AMTZ220"/>
    <x v="4"/>
    <d v="2019-12-02T00:00:00"/>
    <n v="222"/>
    <s v="Finance"/>
    <s v="Kolkata"/>
    <s v="Word"/>
    <n v="18"/>
    <s v="Rajath"/>
  </r>
  <r>
    <s v="AMTZ221"/>
    <x v="4"/>
    <d v="2019-11-30T00:00:00"/>
    <n v="223"/>
    <s v="Finance"/>
    <s v="New Delhi"/>
    <s v="Power"/>
    <n v="30"/>
    <s v="Rajath"/>
  </r>
  <r>
    <s v="AMTZ222"/>
    <x v="5"/>
    <d v="2019-11-29T00:00:00"/>
    <n v="224"/>
    <s v="Finance"/>
    <s v="Bengaluru"/>
    <s v="Excel"/>
    <n v="24"/>
    <s v="Raman"/>
  </r>
  <r>
    <s v="AMTZ223"/>
    <x v="5"/>
    <d v="2019-11-28T00:00:00"/>
    <n v="225"/>
    <s v="Finance"/>
    <s v="Nagpur"/>
    <s v="PowerBI"/>
    <n v="24"/>
    <s v="Amar"/>
  </r>
  <r>
    <s v="AMTZ224"/>
    <x v="0"/>
    <d v="2019-11-30T00:00:00"/>
    <n v="226"/>
    <s v="Finance"/>
    <s v="New Delhi"/>
    <s v="Power"/>
    <n v="30"/>
    <s v="Rajath"/>
  </r>
  <r>
    <s v="AMTZ225"/>
    <x v="1"/>
    <d v="2019-11-30T00:00:00"/>
    <n v="227"/>
    <s v="Finance"/>
    <s v="New Delhi"/>
    <s v="Power"/>
    <n v="30"/>
    <s v="Rajath"/>
  </r>
  <r>
    <s v="AMTZ226"/>
    <x v="1"/>
    <d v="2019-11-30T00:00:00"/>
    <n v="228"/>
    <s v="Finance"/>
    <s v="New Delhi"/>
    <s v="Power"/>
    <n v="30"/>
    <s v="Rajath"/>
  </r>
  <r>
    <s v="AMTZ227"/>
    <x v="2"/>
    <d v="2019-11-30T00:00:00"/>
    <n v="229"/>
    <s v="Finance"/>
    <s v="New Delhi"/>
    <s v="Power"/>
    <n v="30"/>
    <s v="Rajath"/>
  </r>
  <r>
    <s v="AMTZ228"/>
    <x v="2"/>
    <d v="2019-11-30T00:00:00"/>
    <n v="230"/>
    <s v="Finance"/>
    <s v="New Delhi"/>
    <s v="Power"/>
    <n v="30"/>
    <s v="Rajath"/>
  </r>
  <r>
    <s v="AMTZ229"/>
    <x v="3"/>
    <d v="2019-11-30T00:00:00"/>
    <n v="231"/>
    <s v="Finance"/>
    <s v="New Delhi"/>
    <s v="Power"/>
    <n v="30"/>
    <s v="Rajath"/>
  </r>
  <r>
    <s v="AMTZ230"/>
    <x v="3"/>
    <d v="2019-11-30T00:00:00"/>
    <n v="232"/>
    <s v="Finance"/>
    <s v="New Delhi"/>
    <s v="Power"/>
    <n v="30"/>
    <s v="Rajath"/>
  </r>
  <r>
    <s v="AMTZ231"/>
    <x v="0"/>
    <d v="2019-11-30T00:00:00"/>
    <n v="233"/>
    <s v="Finance"/>
    <s v="New Delhi"/>
    <s v="Power"/>
    <n v="30"/>
    <s v="Rajath"/>
  </r>
  <r>
    <s v="AMTZ232"/>
    <x v="3"/>
    <d v="2019-12-06T00:00:00"/>
    <n v="234"/>
    <s v="Finance"/>
    <s v="New Delhi"/>
    <s v="Power"/>
    <n v="30"/>
    <s v="Rajath"/>
  </r>
  <r>
    <s v="AMTZ233"/>
    <x v="4"/>
    <d v="2019-12-02T00:00:00"/>
    <n v="235"/>
    <s v="Finance"/>
    <s v="Bengaluru"/>
    <s v="Excel"/>
    <n v="24"/>
    <s v="Raman"/>
  </r>
  <r>
    <s v="AMTZ234"/>
    <x v="4"/>
    <d v="2019-11-30T00:00:00"/>
    <n v="236"/>
    <s v="Finance"/>
    <s v="Nagpur"/>
    <s v="PowerBI"/>
    <n v="24"/>
    <s v="Amar"/>
  </r>
  <r>
    <s v="AMTZ235"/>
    <x v="5"/>
    <d v="2019-11-29T00:00:00"/>
    <n v="237"/>
    <s v="Finance"/>
    <s v="New Delhi"/>
    <s v="Power"/>
    <n v="30"/>
    <s v="Rajath"/>
  </r>
  <r>
    <s v="AMTZ236"/>
    <x v="5"/>
    <d v="2019-11-28T00:00:00"/>
    <n v="238"/>
    <s v="Finance"/>
    <s v="New Delhi"/>
    <s v="Power"/>
    <n v="30"/>
    <s v="Rajath"/>
  </r>
  <r>
    <s v="AMTZ237"/>
    <x v="0"/>
    <d v="2019-11-30T00:00:00"/>
    <n v="239"/>
    <s v="Finance"/>
    <s v="New Delhi"/>
    <s v="Power"/>
    <n v="30"/>
    <s v="Rajath"/>
  </r>
  <r>
    <s v="AMTZ228"/>
    <x v="2"/>
    <d v="2019-11-30T00:00:00"/>
    <n v="240"/>
    <s v="Finance"/>
    <s v="New Delhi"/>
    <s v="Power"/>
    <n v="30"/>
    <s v="Rajath"/>
  </r>
  <r>
    <s v="AMTZ229"/>
    <x v="3"/>
    <d v="2019-11-30T00:00:00"/>
    <n v="241"/>
    <s v="Finance"/>
    <s v="New Delhi"/>
    <s v="Power"/>
    <n v="30"/>
    <s v="Rajath"/>
  </r>
  <r>
    <s v="AMTZ230"/>
    <x v="3"/>
    <d v="2019-11-30T00:00:00"/>
    <n v="242"/>
    <s v="Finance"/>
    <s v="New Delhi"/>
    <s v="Power"/>
    <n v="30"/>
    <s v="Rajath"/>
  </r>
  <r>
    <s v="AMTZ231"/>
    <x v="0"/>
    <d v="2019-11-30T00:00:00"/>
    <n v="243"/>
    <s v="Finance"/>
    <s v="New Delhi"/>
    <s v="Power"/>
    <n v="30"/>
    <s v="Rajath"/>
  </r>
  <r>
    <s v="AMTZ232"/>
    <x v="3"/>
    <d v="2019-12-06T00:00:00"/>
    <n v="244"/>
    <s v="Finance"/>
    <s v="New Delhi"/>
    <s v="Power"/>
    <n v="30"/>
    <s v="Rajath"/>
  </r>
  <r>
    <s v="AMTZ233"/>
    <x v="4"/>
    <d v="2019-12-02T00:00:00"/>
    <n v="245"/>
    <s v="Finance"/>
    <s v="Bengaluru"/>
    <s v="Excel"/>
    <n v="24"/>
    <s v="Raman"/>
  </r>
  <r>
    <s v="AMTZ234"/>
    <x v="4"/>
    <d v="2019-11-30T00:00:00"/>
    <n v="246"/>
    <s v="Finance"/>
    <s v="Nagpur"/>
    <s v="PowerBI"/>
    <n v="24"/>
    <s v="Amar"/>
  </r>
  <r>
    <s v="AMTZ235"/>
    <x v="5"/>
    <d v="2019-11-29T00:00:00"/>
    <n v="247"/>
    <s v="Finance"/>
    <s v="New Delhi"/>
    <s v="Power"/>
    <n v="30"/>
    <s v="Rajath"/>
  </r>
  <r>
    <s v="AMTZ236"/>
    <x v="5"/>
    <d v="2019-11-28T00:00:00"/>
    <n v="248"/>
    <s v="Finance"/>
    <s v="New Delhi"/>
    <s v="Power"/>
    <n v="30"/>
    <s v="Rajath"/>
  </r>
  <r>
    <s v="AMTZ237"/>
    <x v="66"/>
    <d v="2019-11-30T00:00:00"/>
    <n v="249"/>
    <s v="Finance"/>
    <s v="New Delhi"/>
    <s v="Power"/>
    <n v="30"/>
    <s v="Rajath"/>
  </r>
  <r>
    <s v="Some Number"/>
    <x v="67"/>
    <d v="2019-11-30T00:00:00"/>
    <n v="249"/>
    <s v="Finance"/>
    <s v="New Delhi"/>
    <m/>
    <n v="30"/>
    <s v="Rajath"/>
  </r>
  <r>
    <s v="AMTZ228"/>
    <x v="2"/>
    <d v="2020-11-30T00:00:00"/>
    <n v="230"/>
    <s v="Finance"/>
    <s v="New Delhi"/>
    <s v="Power"/>
    <n v="30"/>
    <s v="Rajath"/>
  </r>
  <r>
    <s v="AMTZ229"/>
    <x v="3"/>
    <d v="2020-11-30T00:00:00"/>
    <n v="231"/>
    <s v="Finance"/>
    <s v="New Delhi"/>
    <s v="Power"/>
    <n v="30"/>
    <s v="Rajath"/>
  </r>
  <r>
    <s v="AMTZ230"/>
    <x v="3"/>
    <d v="2020-11-30T00:00:00"/>
    <n v="232"/>
    <s v="Finance"/>
    <s v="New Delhi"/>
    <s v="Power"/>
    <n v="30"/>
    <s v="Rajath"/>
  </r>
  <r>
    <s v="AMTZ231"/>
    <x v="0"/>
    <d v="2020-11-30T00:00:00"/>
    <n v="233"/>
    <s v="Finance"/>
    <s v="New Delhi"/>
    <s v="Power"/>
    <n v="30"/>
    <s v="Rajath"/>
  </r>
  <r>
    <s v="AMTZ232"/>
    <x v="3"/>
    <d v="2020-12-06T00:00:00"/>
    <n v="234"/>
    <s v="Finance"/>
    <s v="New Delhi"/>
    <s v="Power"/>
    <n v="30"/>
    <s v="Rajath"/>
  </r>
  <r>
    <s v="AMTZ233"/>
    <x v="4"/>
    <d v="2020-12-02T00:00:00"/>
    <n v="235"/>
    <s v="Finance"/>
    <s v="Bengaluru"/>
    <s v="Excel"/>
    <n v="24"/>
    <s v="Raman"/>
  </r>
  <r>
    <s v="AMTZ234"/>
    <x v="4"/>
    <d v="2020-11-30T00:00:00"/>
    <n v="236"/>
    <s v="Finance"/>
    <s v="Nagpur"/>
    <s v="PowerBI"/>
    <n v="24"/>
    <s v="Amar"/>
  </r>
  <r>
    <s v="AMTZ235"/>
    <x v="5"/>
    <d v="2020-11-29T00:00:00"/>
    <n v="237"/>
    <s v="Finance"/>
    <s v="New Delhi"/>
    <s v="Power"/>
    <n v="30"/>
    <s v="Rajath"/>
  </r>
  <r>
    <s v="AMTZ236"/>
    <x v="5"/>
    <d v="2020-11-28T00:00:00"/>
    <n v="238"/>
    <s v="Finance"/>
    <s v="New Delhi"/>
    <s v="Power"/>
    <n v="30"/>
    <s v="Rajath"/>
  </r>
  <r>
    <s v="AMTZ237"/>
    <x v="0"/>
    <d v="2020-11-30T00:00:00"/>
    <n v="239"/>
    <s v="Finance"/>
    <s v="New Delhi"/>
    <s v="Power"/>
    <n v="30"/>
    <s v="Rajath"/>
  </r>
  <r>
    <s v="AMTZ228"/>
    <x v="2"/>
    <d v="2020-11-30T00:00:00"/>
    <n v="240"/>
    <s v="Finance"/>
    <s v="New Delhi"/>
    <s v="Power"/>
    <n v="30"/>
    <s v="Rajath"/>
  </r>
  <r>
    <s v="AMTZ229"/>
    <x v="3"/>
    <d v="2020-11-30T00:00:00"/>
    <n v="241"/>
    <s v="Finance"/>
    <s v="New Delhi"/>
    <s v="Power"/>
    <n v="30"/>
    <s v="Rajath"/>
  </r>
  <r>
    <s v="AMTZ230"/>
    <x v="3"/>
    <d v="2020-11-30T00:00:00"/>
    <n v="242"/>
    <s v="Finance"/>
    <s v="New Delhi"/>
    <s v="Power"/>
    <n v="30"/>
    <s v="Rajath"/>
  </r>
  <r>
    <s v="AMTZ231"/>
    <x v="0"/>
    <d v="2020-11-30T00:00:00"/>
    <n v="243"/>
    <s v="Finance"/>
    <s v="New Delhi"/>
    <s v="Power"/>
    <n v="30"/>
    <s v="Rajath"/>
  </r>
  <r>
    <s v="AMTZ232"/>
    <x v="3"/>
    <d v="2020-12-06T00:00:00"/>
    <n v="244"/>
    <s v="Finance"/>
    <s v="New Delhi"/>
    <s v="Power"/>
    <n v="30"/>
    <s v="Rajath"/>
  </r>
  <r>
    <s v="AMTZ233"/>
    <x v="4"/>
    <d v="2020-12-02T00:00:00"/>
    <n v="245"/>
    <s v="Finance"/>
    <s v="Bengaluru"/>
    <m/>
    <n v="24"/>
    <s v="Raman"/>
  </r>
  <r>
    <s v="AMTZ234"/>
    <x v="4"/>
    <d v="2020-11-30T00:00:00"/>
    <n v="246"/>
    <s v="Finance"/>
    <s v="Nagpur"/>
    <s v="PowerBI"/>
    <n v="24"/>
    <s v="Amar"/>
  </r>
  <r>
    <s v="AMTZ235"/>
    <x v="5"/>
    <d v="2020-11-29T00:00:00"/>
    <n v="247"/>
    <s v="Finance"/>
    <s v="New Delhi"/>
    <s v="Power"/>
    <n v="30"/>
    <s v="Rajath"/>
  </r>
  <r>
    <s v="AMTZ236"/>
    <x v="5"/>
    <d v="2020-11-28T00:00:00"/>
    <n v="248"/>
    <s v="Finance"/>
    <s v="New Delhi"/>
    <s v="Power"/>
    <n v="30"/>
    <s v="Rajath"/>
  </r>
  <r>
    <s v="AMTZ237"/>
    <x v="66"/>
    <d v="2020-11-30T00:00:00"/>
    <n v="249"/>
    <s v="Finance"/>
    <s v="New Delhi"/>
    <s v="Power"/>
    <n v="30"/>
    <s v="Rajath"/>
  </r>
  <r>
    <s v="Some Number"/>
    <x v="67"/>
    <d v="2020-11-30T00:00:00"/>
    <n v="249"/>
    <s v="Finance"/>
    <s v="New Delhi"/>
    <m/>
    <n v="30"/>
    <s v="Rajat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">
  <r>
    <s v="AMTZ128"/>
    <s v="Customer A"/>
    <d v="2017-01-07T00:00:00"/>
    <n v="130"/>
    <x v="0"/>
    <s v="Chennai"/>
    <s v="PowerBI"/>
    <n v="26"/>
    <s v="Raman"/>
  </r>
  <r>
    <s v="AMTZ128"/>
    <s v="Customer A"/>
    <d v="2017-01-07T00:00:00"/>
    <n v="131"/>
    <x v="0"/>
    <s v="Chennai"/>
    <s v="PowerBI"/>
    <n v="26"/>
    <s v="Raman"/>
  </r>
  <r>
    <s v="customer unique"/>
    <s v="customer unique"/>
    <d v="2017-01-07T00:00:00"/>
    <n v="132"/>
    <x v="0"/>
    <s v="Chennai"/>
    <s v="PowerBI"/>
    <n v="26"/>
    <s v="Raman"/>
  </r>
  <r>
    <s v="AMTZ141"/>
    <s v="Customer A"/>
    <d v="2017-01-07T00:00:00"/>
    <n v="130"/>
    <x v="0"/>
    <s v="Chennai"/>
    <s v="PowerBI"/>
    <n v="26"/>
    <s v="Raman"/>
  </r>
  <r>
    <s v="AMTZ142"/>
    <s v="Customer A"/>
    <d v="2017-01-07T00:00:00"/>
    <n v="131"/>
    <x v="0"/>
    <s v="Chennai"/>
    <s v="PowerBI"/>
    <n v="26"/>
    <s v="Raman"/>
  </r>
  <r>
    <s v="AMTZ127"/>
    <s v="Customer A"/>
    <d v="2017-01-10T00:00:00"/>
    <n v="129"/>
    <x v="0"/>
    <s v="Pune"/>
    <s v="Excel"/>
    <n v="26"/>
    <s v="Amar"/>
  </r>
  <r>
    <s v="AMTZ140"/>
    <s v="Customer A"/>
    <d v="2017-01-10T00:00:00"/>
    <n v="129"/>
    <x v="0"/>
    <s v="Pune"/>
    <s v="Excel"/>
    <n v="26"/>
    <s v="Amar"/>
  </r>
  <r>
    <s v="AMTZ125"/>
    <s v="Customer AA"/>
    <d v="2017-01-11T00:00:00"/>
    <n v="127"/>
    <x v="0"/>
    <s v="Pune"/>
    <s v="Outlook"/>
    <n v="37"/>
    <s v="Amar"/>
  </r>
  <r>
    <s v="AMTZ126"/>
    <s v="Customer A"/>
    <d v="2017-01-11T00:00:00"/>
    <n v="128"/>
    <x v="0"/>
    <s v="Chennai"/>
    <s v="Office 365"/>
    <n v="8"/>
    <s v="Raman"/>
  </r>
  <r>
    <s v="AMTZ135"/>
    <s v="Customer AA"/>
    <d v="2017-01-11T00:00:00"/>
    <n v="133"/>
    <x v="0"/>
    <s v="Pune"/>
    <s v="Outlook"/>
    <n v="37"/>
    <s v="Amar"/>
  </r>
  <r>
    <s v="AMTZ136"/>
    <s v="Customer AB"/>
    <d v="2017-01-11T00:00:00"/>
    <n v="134"/>
    <x v="0"/>
    <s v="Pune"/>
    <s v="Outlook"/>
    <n v="100"/>
    <s v="Amar"/>
  </r>
  <r>
    <s v="AMTZ137"/>
    <s v="Customer AB"/>
    <d v="2017-01-11T00:00:00"/>
    <n v="135"/>
    <x v="0"/>
    <s v="Pune"/>
    <s v="Outlook"/>
    <n v="100"/>
    <s v="Amar"/>
  </r>
  <r>
    <s v="AMTZ138"/>
    <s v="Customer AB"/>
    <d v="2017-01-11T00:00:00"/>
    <n v="136"/>
    <x v="0"/>
    <s v="Pune"/>
    <s v="Outlook"/>
    <n v="37"/>
    <s v="Amar"/>
  </r>
  <r>
    <s v="AMTZ139"/>
    <s v="Customer A"/>
    <d v="2017-01-11T00:00:00"/>
    <n v="128"/>
    <x v="0"/>
    <s v="Chennai"/>
    <s v="Office 365"/>
    <n v="8"/>
    <s v="Raman"/>
  </r>
  <r>
    <s v="AMTZ135"/>
    <s v="Customer AA"/>
    <d v="2017-01-11T00:00:00"/>
    <n v="132"/>
    <x v="0"/>
    <s v="Chennai"/>
    <s v="Office 365"/>
    <n v="8"/>
    <s v="Raman"/>
  </r>
  <r>
    <s v="AMTZ135"/>
    <s v="Customer AA"/>
    <d v="2017-01-11T00:00:00"/>
    <n v="133"/>
    <x v="0"/>
    <s v="Chennai"/>
    <s v="Office 365"/>
    <n v="8"/>
    <s v="Raman"/>
  </r>
  <r>
    <s v="AMTZ135"/>
    <s v="Customer AA"/>
    <d v="2017-01-11T00:00:00"/>
    <n v="134"/>
    <x v="0"/>
    <s v="Chennai"/>
    <s v="Office 365"/>
    <n v="8"/>
    <s v="Raman"/>
  </r>
  <r>
    <s v="AMTZ135"/>
    <s v="Customer AA"/>
    <d v="2017-01-11T00:00:00"/>
    <n v="135"/>
    <x v="0"/>
    <s v="Chennai"/>
    <s v="Office 365"/>
    <n v="8"/>
    <s v="Raman"/>
  </r>
  <r>
    <s v="AMTZ135"/>
    <s v="Customer AA"/>
    <d v="2017-01-11T00:00:00"/>
    <n v="136"/>
    <x v="0"/>
    <s v="Chennai"/>
    <s v="Office 365"/>
    <n v="8"/>
    <s v="Raman"/>
  </r>
  <r>
    <s v="AMTZ135"/>
    <s v="Customer AA"/>
    <d v="2017-01-11T00:00:00"/>
    <n v="137"/>
    <x v="0"/>
    <s v="Chennai"/>
    <s v="Office 365"/>
    <n v="8"/>
    <s v="Raman"/>
  </r>
  <r>
    <s v="AMTZ135"/>
    <s v="Customer AA"/>
    <d v="2017-01-11T00:00:00"/>
    <n v="138"/>
    <x v="0"/>
    <s v="Chennai"/>
    <s v="Office 365"/>
    <n v="8"/>
    <s v="Raman"/>
  </r>
  <r>
    <s v="AMTZ136"/>
    <s v="Customer AA"/>
    <d v="2017-01-11T00:00:00"/>
    <n v="139"/>
    <x v="0"/>
    <s v="Chennai"/>
    <s v="Office 365"/>
    <n v="234"/>
    <s v="Raman"/>
  </r>
  <r>
    <s v="AMTZ122"/>
    <s v="Customer AB"/>
    <d v="2017-01-13T00:00:00"/>
    <n v="124"/>
    <x v="0"/>
    <s v="New Delhi"/>
    <s v="Excel"/>
    <n v="33"/>
    <s v="Rajath"/>
  </r>
  <r>
    <s v="AMTZ123"/>
    <s v="Customer AB"/>
    <d v="2017-01-13T00:00:00"/>
    <n v="125"/>
    <x v="0"/>
    <s v="Bengaluru"/>
    <s v="PowerBI"/>
    <n v="21"/>
    <s v="Raman"/>
  </r>
  <r>
    <s v="AMTZ124"/>
    <s v="Customer AA"/>
    <d v="2017-01-13T00:00:00"/>
    <n v="126"/>
    <x v="0"/>
    <s v="Nagpur"/>
    <s v="VBA"/>
    <n v="25"/>
    <s v="Amar"/>
  </r>
  <r>
    <s v="AMTZ121"/>
    <s v="Customer AB"/>
    <d v="2017-01-15T00:00:00"/>
    <n v="123"/>
    <x v="0"/>
    <s v="Kolkata"/>
    <s v="Power"/>
    <n v="10"/>
    <s v="Rajath"/>
  </r>
  <r>
    <s v="AMTZ120"/>
    <s v="Customer AC"/>
    <d v="2017-01-16T00:00:00"/>
    <n v="122"/>
    <x v="0"/>
    <s v="Hyderabad"/>
    <s v="Word"/>
    <n v="8"/>
    <s v="Amar"/>
  </r>
  <r>
    <s v="AMTZ119"/>
    <s v="Customer AC"/>
    <d v="2017-01-21T00:00:00"/>
    <n v="121"/>
    <x v="0"/>
    <s v="Chennai"/>
    <s v="Office 365"/>
    <n v="17"/>
    <s v="Raman"/>
  </r>
  <r>
    <s v="AMTZ118"/>
    <s v="Customer AD"/>
    <d v="2017-01-22T00:00:00"/>
    <n v="120"/>
    <x v="0"/>
    <s v="Pune"/>
    <s v="Outlook"/>
    <n v="30"/>
    <s v="Amar"/>
  </r>
  <r>
    <s v="AMTZ117"/>
    <s v="Customer AD"/>
    <d v="2017-01-29T00:00:00"/>
    <n v="119"/>
    <x v="0"/>
    <s v="Nagpur"/>
    <s v="VBA"/>
    <n v="24"/>
    <s v="Amar"/>
  </r>
  <r>
    <s v="AMTZ116"/>
    <s v="Customer AE"/>
    <d v="2017-01-31T00:00:00"/>
    <n v="118"/>
    <x v="0"/>
    <s v="Bengaluru"/>
    <s v="PowerBI"/>
    <n v="31"/>
    <s v="Raman"/>
  </r>
  <r>
    <s v="AMTZ115"/>
    <s v="Customer AE"/>
    <d v="2017-02-01T00:00:00"/>
    <n v="117"/>
    <x v="1"/>
    <s v="New Delhi"/>
    <s v="Excel"/>
    <n v="30"/>
    <s v="Rajath"/>
  </r>
  <r>
    <s v="AMTZ114"/>
    <s v="Customer AF"/>
    <d v="2017-02-02T00:00:00"/>
    <n v="116"/>
    <x v="1"/>
    <s v="Kolkata"/>
    <s v="Power"/>
    <n v="15"/>
    <s v="Rajath"/>
  </r>
  <r>
    <s v="AMTZ113"/>
    <s v="Customer AF"/>
    <d v="2017-02-03T00:00:00"/>
    <n v="115"/>
    <x v="1"/>
    <s v="Hyderabad"/>
    <s v="Word"/>
    <n v="19"/>
    <s v="Amar"/>
  </r>
  <r>
    <s v="AMTZ112"/>
    <s v="Customer AG"/>
    <d v="2017-02-09T00:00:00"/>
    <n v="114"/>
    <x v="1"/>
    <s v="Chennai"/>
    <s v="Office 365"/>
    <n v="40"/>
    <s v="Raman"/>
  </r>
  <r>
    <s v="AMTZ111"/>
    <s v="Customer AG"/>
    <d v="2017-02-11T00:00:00"/>
    <n v="113"/>
    <x v="1"/>
    <s v="Pune"/>
    <s v="Outlook"/>
    <n v="21"/>
    <s v="Amar"/>
  </r>
  <r>
    <s v="AMTZ110"/>
    <s v="Customer AH"/>
    <d v="2017-02-14T00:00:00"/>
    <n v="111"/>
    <x v="1"/>
    <s v="Nagpur"/>
    <s v="PowerBI"/>
    <n v="28"/>
    <s v="Amar"/>
  </r>
  <r>
    <s v="AMTZ110"/>
    <s v="Customer AH"/>
    <d v="2017-02-14T00:00:00"/>
    <n v="112"/>
    <x v="1"/>
    <s v="New Delhi"/>
    <s v="VBA"/>
    <n v="25"/>
    <s v="Rajath"/>
  </r>
  <r>
    <s v="AMTZ109"/>
    <s v="Customer AI"/>
    <d v="2017-02-18T00:00:00"/>
    <n v="110"/>
    <x v="1"/>
    <s v="Bengaluru"/>
    <s v="Excel"/>
    <n v="15"/>
    <s v="Raman"/>
  </r>
  <r>
    <s v="AMTZ108"/>
    <s v="Customer AI"/>
    <d v="2017-02-20T00:00:00"/>
    <n v="109"/>
    <x v="1"/>
    <s v="New Delhi"/>
    <s v="Power"/>
    <n v="27"/>
    <s v="Rajath"/>
  </r>
  <r>
    <s v="AMTZ107"/>
    <s v="Customer AJ"/>
    <d v="2017-02-22T00:00:00"/>
    <n v="108"/>
    <x v="1"/>
    <s v="Kolkata"/>
    <s v="Word"/>
    <n v="19"/>
    <s v="Rajath"/>
  </r>
  <r>
    <s v="AMTZ105"/>
    <s v="Customer AK"/>
    <d v="2017-03-03T00:00:00"/>
    <n v="106"/>
    <x v="1"/>
    <s v="Pune"/>
    <s v="Outlook"/>
    <n v="21"/>
    <s v="Amar"/>
  </r>
  <r>
    <s v="AMTZ106"/>
    <s v="Customer AJ"/>
    <d v="2017-03-03T00:00:00"/>
    <n v="107"/>
    <x v="1"/>
    <s v="Chennai"/>
    <s v="Office 365"/>
    <n v="9"/>
    <s v="Raman"/>
  </r>
  <r>
    <s v="AMTZ104"/>
    <s v="Customer AK"/>
    <d v="2017-03-04T00:00:00"/>
    <n v="105"/>
    <x v="1"/>
    <s v="Nagpur"/>
    <s v="VBA"/>
    <n v="33"/>
    <s v="Amar"/>
  </r>
  <r>
    <s v="AMTZ103"/>
    <s v="Customer AL"/>
    <d v="2017-03-08T00:00:00"/>
    <n v="104"/>
    <x v="1"/>
    <s v="Bengaluru"/>
    <s v="PowerBI"/>
    <n v="33"/>
    <s v="Raman"/>
  </r>
  <r>
    <s v="AMTZ102"/>
    <s v="Customer AL"/>
    <d v="2017-03-09T00:00:00"/>
    <n v="103"/>
    <x v="1"/>
    <s v="New Delhi"/>
    <s v="Excel"/>
    <n v="19"/>
    <s v="Rajath"/>
  </r>
  <r>
    <s v="AMTZ101"/>
    <s v="Customer AM"/>
    <d v="2017-03-21T00:00:00"/>
    <n v="102"/>
    <x v="1"/>
    <s v="Kolkata"/>
    <s v="Power"/>
    <n v="20"/>
    <s v="Rajath"/>
  </r>
  <r>
    <s v="AMTZ99"/>
    <s v="Customer AN"/>
    <d v="2017-03-22T00:00:00"/>
    <n v="100"/>
    <x v="1"/>
    <s v="Chennai"/>
    <s v="Office 365"/>
    <n v="34"/>
    <s v="Raman"/>
  </r>
  <r>
    <s v="AMTZ100"/>
    <s v="Customer AM"/>
    <d v="2017-03-22T00:00:00"/>
    <n v="101"/>
    <x v="1"/>
    <s v="Hyderabad"/>
    <s v="Word"/>
    <n v="11"/>
    <s v="Amar"/>
  </r>
  <r>
    <s v="AMTZ98"/>
    <s v="Customer AN"/>
    <d v="2017-03-25T00:00:00"/>
    <n v="99"/>
    <x v="2"/>
    <s v="Pune"/>
    <s v="Outlook"/>
    <n v="39"/>
    <s v="Amar"/>
  </r>
  <r>
    <s v="AMTZ97"/>
    <s v="Customer AO"/>
    <d v="2017-03-26T00:00:00"/>
    <n v="98"/>
    <x v="2"/>
    <s v="Nagpur"/>
    <s v="VBA"/>
    <n v="23"/>
    <s v="Amar"/>
  </r>
  <r>
    <s v="AMTZ96"/>
    <s v="Customer AO"/>
    <d v="2017-04-03T00:00:00"/>
    <n v="97"/>
    <x v="2"/>
    <s v="Bengaluru"/>
    <s v="PowerBI"/>
    <n v="25"/>
    <s v="Raman"/>
  </r>
  <r>
    <s v="AMTZ95"/>
    <s v="Customer AP"/>
    <d v="2017-04-04T00:00:00"/>
    <n v="96"/>
    <x v="2"/>
    <s v="New Delhi"/>
    <s v="Excel"/>
    <n v="19"/>
    <s v="Rajath"/>
  </r>
  <r>
    <s v="AMTZ94"/>
    <s v="Customer AP"/>
    <d v="2017-04-08T00:00:00"/>
    <n v="95"/>
    <x v="2"/>
    <s v="Kolkata"/>
    <s v="Power"/>
    <n v="10"/>
    <s v="Rajath"/>
  </r>
  <r>
    <s v="AMTZ93"/>
    <s v="Customer AQ"/>
    <d v="2017-04-09T00:00:00"/>
    <n v="94"/>
    <x v="2"/>
    <s v="Hyderabad"/>
    <s v="Word"/>
    <n v="11"/>
    <s v="Amar"/>
  </r>
  <r>
    <s v="AMTZ92"/>
    <s v="Customer AQ"/>
    <d v="2017-04-14T00:00:00"/>
    <n v="93"/>
    <x v="2"/>
    <s v="Chennai"/>
    <s v="Outlook"/>
    <n v="18"/>
    <s v="Raman"/>
  </r>
  <r>
    <s v="AMTZ91"/>
    <s v="Customer AR"/>
    <d v="2017-04-15T00:00:00"/>
    <n v="92"/>
    <x v="2"/>
    <s v="Pune"/>
    <s v="VBA"/>
    <n v="35"/>
    <s v="Amar"/>
  </r>
  <r>
    <s v="AMTZ90"/>
    <s v="Customer AR"/>
    <d v="2017-04-17T00:00:00"/>
    <n v="91"/>
    <x v="2"/>
    <s v="Nagpur"/>
    <s v="PowerBI"/>
    <n v="36"/>
    <s v="Amar"/>
  </r>
  <r>
    <s v="AMTZ89"/>
    <s v="Customer AS"/>
    <d v="2017-04-24T00:00:00"/>
    <n v="90"/>
    <x v="2"/>
    <s v="Bengaluru"/>
    <s v="Excel"/>
    <n v="31"/>
    <s v="Raman"/>
  </r>
  <r>
    <s v="AMTZ88"/>
    <s v="Customer AS"/>
    <d v="2017-04-25T00:00:00"/>
    <n v="89"/>
    <x v="2"/>
    <s v="New Delhi"/>
    <s v="Power"/>
    <n v="11"/>
    <s v="Rajath"/>
  </r>
  <r>
    <s v="AMTZ87"/>
    <s v="Customer AT"/>
    <d v="2017-04-26T00:00:00"/>
    <n v="88"/>
    <x v="2"/>
    <s v="Kolkata"/>
    <s v="Word"/>
    <n v="20"/>
    <s v="Rajath"/>
  </r>
  <r>
    <s v="AMTZ86"/>
    <s v="Customer AT"/>
    <d v="2017-04-27T00:00:00"/>
    <n v="87"/>
    <x v="2"/>
    <s v="Chennai"/>
    <s v="Outlook"/>
    <n v="29"/>
    <s v="Raman"/>
  </r>
  <r>
    <s v="AMTZ85"/>
    <s v="Customer AU"/>
    <d v="2017-05-04T00:00:00"/>
    <n v="86"/>
    <x v="2"/>
    <s v="Pune"/>
    <s v="VBA"/>
    <n v="15"/>
    <s v="Amar"/>
  </r>
  <r>
    <s v="AMTZ84"/>
    <s v="Customer AU"/>
    <d v="2017-05-08T00:00:00"/>
    <n v="85"/>
    <x v="2"/>
    <s v="Nagpur"/>
    <s v="PowerBI"/>
    <n v="15"/>
    <s v="Amar"/>
  </r>
  <r>
    <s v="AMTZ83"/>
    <s v="Customer AV"/>
    <d v="2017-05-09T00:00:00"/>
    <n v="84"/>
    <x v="2"/>
    <s v="Bengaluru"/>
    <s v="Excel"/>
    <n v="12"/>
    <s v="Raman"/>
  </r>
  <r>
    <s v="AMTZ82"/>
    <s v="Customer AV"/>
    <d v="2017-05-14T00:00:00"/>
    <n v="83"/>
    <x v="2"/>
    <s v="New Delhi"/>
    <s v="Power"/>
    <n v="21"/>
    <s v="Rajath"/>
  </r>
  <r>
    <s v="AMTZ79"/>
    <s v="Customer AX"/>
    <d v="2017-05-15T00:00:00"/>
    <n v="80"/>
    <x v="2"/>
    <s v="Chennai"/>
    <s v="VBA"/>
    <n v="22"/>
    <s v="Raman"/>
  </r>
  <r>
    <s v="AMTZ80"/>
    <s v="Customer AW"/>
    <d v="2017-05-15T00:00:00"/>
    <n v="81"/>
    <x v="2"/>
    <s v="Hyderabad"/>
    <s v="Outlook"/>
    <n v="27"/>
    <s v="Amar"/>
  </r>
  <r>
    <s v="AMTZ81"/>
    <s v="Customer AW"/>
    <d v="2017-05-15T00:00:00"/>
    <n v="82"/>
    <x v="2"/>
    <s v="Kolkata"/>
    <s v="Word"/>
    <n v="11"/>
    <s v="Rajath"/>
  </r>
  <r>
    <s v="AMTZ78"/>
    <s v="Customer AX"/>
    <d v="2017-05-16T00:00:00"/>
    <n v="79"/>
    <x v="2"/>
    <s v="Pune"/>
    <s v="PowerBI"/>
    <n v="13"/>
    <s v="Amar"/>
  </r>
  <r>
    <s v="AMTZ77"/>
    <s v="Customer AY"/>
    <d v="2017-05-17T00:00:00"/>
    <n v="78"/>
    <x v="2"/>
    <s v="Nagpur"/>
    <s v="Excel"/>
    <n v="37"/>
    <s v="Amar"/>
  </r>
  <r>
    <s v="AMTZ76"/>
    <s v="Customer AY"/>
    <d v="2017-05-18T00:00:00"/>
    <n v="77"/>
    <x v="2"/>
    <s v="Bengaluru"/>
    <s v="Power"/>
    <n v="35"/>
    <s v="Raman"/>
  </r>
  <r>
    <s v="AMTZ75"/>
    <s v="Customer AZ"/>
    <d v="2017-05-20T00:00:00"/>
    <n v="76"/>
    <x v="2"/>
    <s v="New Delhi"/>
    <s v="Word"/>
    <n v="21"/>
    <s v="Rajath"/>
  </r>
  <r>
    <s v="AMTZ74"/>
    <s v="Customer AZ"/>
    <d v="2017-05-23T00:00:00"/>
    <n v="75"/>
    <x v="2"/>
    <s v="Kolkata"/>
    <s v="VBA"/>
    <n v="27"/>
    <s v="Rajath"/>
  </r>
  <r>
    <s v="AMTZ73"/>
    <s v="Customer B"/>
    <d v="2017-05-24T00:00:00"/>
    <n v="74"/>
    <x v="2"/>
    <s v="Hyderabad"/>
    <s v="PowerBI"/>
    <n v="9"/>
    <s v="Amar"/>
  </r>
  <r>
    <s v="AMTZ70"/>
    <s v="Customer BA"/>
    <d v="2017-05-25T00:00:00"/>
    <n v="71"/>
    <x v="0"/>
    <s v="Nagpur"/>
    <s v="Word"/>
    <n v="39"/>
    <s v="Amar"/>
  </r>
  <r>
    <s v="AMTZ71"/>
    <s v="Customer BA"/>
    <d v="2017-05-25T00:00:00"/>
    <n v="72"/>
    <x v="0"/>
    <s v="Pune"/>
    <s v="Power"/>
    <n v="15"/>
    <s v="Amar"/>
  </r>
  <r>
    <s v="AMTZ72"/>
    <s v="Customer B"/>
    <d v="2017-05-25T00:00:00"/>
    <n v="73"/>
    <x v="2"/>
    <s v="Chennai"/>
    <s v="Excel"/>
    <n v="28"/>
    <s v="Raman"/>
  </r>
  <r>
    <s v="AMTZ69"/>
    <s v="Customer BB"/>
    <d v="2017-06-01T00:00:00"/>
    <n v="70"/>
    <x v="0"/>
    <s v="Bengaluru"/>
    <s v="Outlook"/>
    <n v="33"/>
    <s v="Raman"/>
  </r>
  <r>
    <s v="AMTZ68"/>
    <s v="Customer BB"/>
    <d v="2017-06-02T00:00:00"/>
    <n v="69"/>
    <x v="0"/>
    <s v="New Delhi"/>
    <s v="VBA"/>
    <n v="19"/>
    <s v="Rajath"/>
  </r>
  <r>
    <s v="AMTZ67"/>
    <s v="Customer BC"/>
    <d v="2017-06-05T00:00:00"/>
    <n v="68"/>
    <x v="0"/>
    <s v="Kolkata"/>
    <s v="PowerBI"/>
    <n v="31"/>
    <s v="Rajath"/>
  </r>
  <r>
    <s v="AMTZ66"/>
    <s v="Customer BC"/>
    <d v="2017-06-10T00:00:00"/>
    <n v="67"/>
    <x v="1"/>
    <s v="Chennai"/>
    <s v="Excel"/>
    <n v="11"/>
    <s v="Raman"/>
  </r>
  <r>
    <s v="AMTZ65"/>
    <s v="Customer BD"/>
    <d v="2017-06-15T00:00:00"/>
    <n v="66"/>
    <x v="1"/>
    <s v="Pune"/>
    <s v="Power"/>
    <n v="37"/>
    <s v="Amar"/>
  </r>
  <r>
    <s v="AMTZ63"/>
    <s v="Customer BE"/>
    <d v="2017-06-17T00:00:00"/>
    <n v="64"/>
    <x v="1"/>
    <s v="Bengaluru"/>
    <s v="PowerBI"/>
    <n v="30"/>
    <s v="Raman"/>
  </r>
  <r>
    <s v="AMTZ64"/>
    <s v="Customer BD"/>
    <d v="2017-06-17T00:00:00"/>
    <n v="65"/>
    <x v="1"/>
    <s v="Nagpur"/>
    <s v="Word"/>
    <n v="31"/>
    <s v="Amar"/>
  </r>
  <r>
    <s v="AMTZ62"/>
    <s v="Customer BE"/>
    <d v="2017-06-18T00:00:00"/>
    <n v="63"/>
    <x v="1"/>
    <s v="New Delhi"/>
    <s v="Excel"/>
    <n v="15"/>
    <s v="Rajath"/>
  </r>
  <r>
    <s v="AMTZ61"/>
    <s v="Customer BF"/>
    <d v="2017-06-22T00:00:00"/>
    <n v="62"/>
    <x v="1"/>
    <s v="Kolkata"/>
    <s v="Power"/>
    <n v="38"/>
    <s v="Rajath"/>
  </r>
  <r>
    <s v="AMTZ59"/>
    <s v="Customer BG"/>
    <d v="2017-07-01T00:00:00"/>
    <n v="60"/>
    <x v="1"/>
    <s v="Chennai"/>
    <s v="Office 365"/>
    <n v="40"/>
    <s v="Raman"/>
  </r>
  <r>
    <s v="AMTZ60"/>
    <s v="Customer BF"/>
    <d v="2017-07-01T00:00:00"/>
    <n v="61"/>
    <x v="1"/>
    <s v="Hyderabad"/>
    <s v="Word"/>
    <n v="17"/>
    <s v="Amar"/>
  </r>
  <r>
    <s v="AMTZ58"/>
    <s v="Customer BG"/>
    <d v="2017-07-04T00:00:00"/>
    <n v="59"/>
    <x v="1"/>
    <s v="Pune"/>
    <s v="Outlook"/>
    <n v="25"/>
    <s v="Amar"/>
  </r>
  <r>
    <s v="AMTZ56"/>
    <s v="Customer BH"/>
    <d v="2017-07-12T00:00:00"/>
    <n v="57"/>
    <x v="1"/>
    <s v="Bengaluru"/>
    <s v="PowerBI"/>
    <n v="30"/>
    <s v="Raman"/>
  </r>
  <r>
    <s v="AMTZ57"/>
    <s v="Customer BH"/>
    <d v="2017-07-12T00:00:00"/>
    <n v="58"/>
    <x v="1"/>
    <s v="Nagpur"/>
    <s v="VBA"/>
    <n v="24"/>
    <s v="Amar"/>
  </r>
  <r>
    <s v="AMTZ55"/>
    <s v="Customer BI"/>
    <d v="2017-07-14T00:00:00"/>
    <n v="56"/>
    <x v="1"/>
    <s v="New Delhi"/>
    <s v="Excel"/>
    <n v="39"/>
    <s v="Rajath"/>
  </r>
  <r>
    <s v="AMTZ54"/>
    <s v="Customer BI"/>
    <d v="2017-07-17T00:00:00"/>
    <n v="55"/>
    <x v="1"/>
    <s v="Kolkata"/>
    <s v="Power"/>
    <n v="39"/>
    <s v="Rajath"/>
  </r>
  <r>
    <s v="AMTZ53"/>
    <s v="Customer BJ"/>
    <d v="2017-07-20T00:00:00"/>
    <n v="54"/>
    <x v="1"/>
    <s v="Hyderabad"/>
    <s v="Word"/>
    <n v="32"/>
    <s v="Amar"/>
  </r>
  <r>
    <s v="AMTZ52"/>
    <s v="Customer BJ"/>
    <d v="2017-07-24T00:00:00"/>
    <n v="53"/>
    <x v="1"/>
    <s v="Chennai"/>
    <s v="Office 365"/>
    <n v="12"/>
    <s v="Raman"/>
  </r>
  <r>
    <s v="AMTZ50"/>
    <s v="Customer BK"/>
    <d v="2017-07-26T00:00:00"/>
    <n v="51"/>
    <x v="1"/>
    <s v="Nagpur"/>
    <s v="VBA"/>
    <n v="38"/>
    <s v="Amar"/>
  </r>
  <r>
    <s v="AMTZ51"/>
    <s v="Customer BK"/>
    <d v="2017-07-26T00:00:00"/>
    <n v="52"/>
    <x v="1"/>
    <s v="Pune"/>
    <s v="Outlook"/>
    <n v="18"/>
    <s v="Amar"/>
  </r>
  <r>
    <s v="AMTZ49"/>
    <s v="Customer BL"/>
    <d v="2017-07-27T00:00:00"/>
    <n v="50"/>
    <x v="1"/>
    <s v="Bengaluru"/>
    <s v="PowerBI"/>
    <n v="36"/>
    <s v="Raman"/>
  </r>
  <r>
    <s v="AMTZ48"/>
    <s v="Customer BL"/>
    <d v="2017-07-28T00:00:00"/>
    <n v="49"/>
    <x v="1"/>
    <s v="New Delhi"/>
    <s v="Excel"/>
    <n v="25"/>
    <s v="Rajath"/>
  </r>
  <r>
    <s v="AMTZ47"/>
    <s v="Customer C"/>
    <d v="2017-07-29T00:00:00"/>
    <n v="48"/>
    <x v="0"/>
    <s v="Kolkata"/>
    <s v="Power"/>
    <n v="20"/>
    <s v="Rajath"/>
  </r>
  <r>
    <s v="AMTZ46"/>
    <s v="Customer C"/>
    <d v="2017-08-04T00:00:00"/>
    <n v="47"/>
    <x v="0"/>
    <s v="Chennai"/>
    <s v="Word"/>
    <n v="18"/>
    <s v="Raman"/>
  </r>
  <r>
    <s v="AMTZ45"/>
    <s v="Customer D"/>
    <d v="2017-08-14T00:00:00"/>
    <n v="46"/>
    <x v="0"/>
    <s v="Pune"/>
    <s v="PowerBI"/>
    <n v="23"/>
    <s v="Amar"/>
  </r>
  <r>
    <s v="AMTZ44"/>
    <s v="Customer D"/>
    <d v="2017-08-19T00:00:00"/>
    <n v="45"/>
    <x v="0"/>
    <s v="Nagpur"/>
    <s v="Excel"/>
    <n v="14"/>
    <s v="Amar"/>
  </r>
  <r>
    <s v="AMTZ43"/>
    <s v="Customer E"/>
    <d v="2017-08-24T00:00:00"/>
    <n v="44"/>
    <x v="0"/>
    <s v="Bengaluru"/>
    <s v="Power"/>
    <n v="19"/>
    <s v="Raman"/>
  </r>
  <r>
    <s v="AMTZ42"/>
    <s v="Customer E"/>
    <d v="2017-09-11T00:00:00"/>
    <n v="43"/>
    <x v="0"/>
    <s v="New Delhi"/>
    <s v="Word"/>
    <n v="32"/>
    <s v="Rajath"/>
  </r>
  <r>
    <s v="AMTZ41"/>
    <s v="Customer F"/>
    <d v="2017-09-13T00:00:00"/>
    <n v="42"/>
    <x v="0"/>
    <s v="Kolkata"/>
    <s v="Office 365"/>
    <n v="27"/>
    <s v="Rajath"/>
  </r>
  <r>
    <s v="AMTZ40"/>
    <s v="Customer F"/>
    <d v="2017-09-14T00:00:00"/>
    <n v="41"/>
    <x v="0"/>
    <s v="Hyderabad"/>
    <s v="Outlook"/>
    <n v="20"/>
    <s v="Amar"/>
  </r>
  <r>
    <s v="AMTZ39"/>
    <s v="Customer G"/>
    <d v="2017-09-15T00:00:00"/>
    <n v="40"/>
    <x v="0"/>
    <s v="Chennai"/>
    <s v="VBA"/>
    <n v="28"/>
    <s v="Raman"/>
  </r>
  <r>
    <s v="AMTZ38"/>
    <s v="Customer G"/>
    <d v="2017-09-21T00:00:00"/>
    <n v="39"/>
    <x v="0"/>
    <s v="Pune"/>
    <s v="PowerBI"/>
    <n v="16"/>
    <s v="Amar"/>
  </r>
  <r>
    <s v="AMTZ36"/>
    <s v="Customer H"/>
    <d v="2017-09-22T00:00:00"/>
    <n v="37"/>
    <x v="0"/>
    <s v="Bengaluru"/>
    <s v="Power"/>
    <n v="23"/>
    <s v="Raman"/>
  </r>
  <r>
    <s v="AMTZ37"/>
    <s v="Customer H"/>
    <d v="2017-09-22T00:00:00"/>
    <n v="38"/>
    <x v="0"/>
    <s v="Nagpur"/>
    <s v="Excel"/>
    <n v="34"/>
    <s v="Amar"/>
  </r>
  <r>
    <s v="AMTZ34"/>
    <s v="Customer I"/>
    <d v="2017-09-27T00:00:00"/>
    <n v="35"/>
    <x v="0"/>
    <s v="Kolkata"/>
    <s v="Office 365"/>
    <n v="24"/>
    <s v="Rajath"/>
  </r>
  <r>
    <s v="AMTZ35"/>
    <s v="Customer I"/>
    <d v="2017-09-27T00:00:00"/>
    <n v="36"/>
    <x v="0"/>
    <s v="New Delhi"/>
    <s v="Word"/>
    <n v="37"/>
    <s v="Rajath"/>
  </r>
  <r>
    <s v="AMTZ33"/>
    <s v="Customer J"/>
    <d v="2017-09-29T00:00:00"/>
    <n v="34"/>
    <x v="0"/>
    <s v="Hyderabad"/>
    <s v="Outlook"/>
    <n v="32"/>
    <s v="Amar"/>
  </r>
  <r>
    <s v="AMTZ32"/>
    <s v="Customer J"/>
    <d v="2017-10-03T00:00:00"/>
    <n v="33"/>
    <x v="0"/>
    <s v="Chennai"/>
    <s v="VBA"/>
    <n v="19"/>
    <s v="Raman"/>
  </r>
  <r>
    <s v="AMTZ30"/>
    <s v="Customer K"/>
    <d v="2017-10-05T00:00:00"/>
    <n v="31"/>
    <x v="2"/>
    <s v="Nagpur"/>
    <s v="Excel"/>
    <n v="35"/>
    <s v="Amar"/>
  </r>
  <r>
    <s v="AMTZ31"/>
    <s v="Customer K"/>
    <d v="2017-10-05T00:00:00"/>
    <n v="32"/>
    <x v="0"/>
    <s v="Pune"/>
    <s v="PowerBI"/>
    <n v="39"/>
    <s v="Amar"/>
  </r>
  <r>
    <s v="AMTZ29"/>
    <s v="Customer L"/>
    <d v="2017-10-06T00:00:00"/>
    <n v="30"/>
    <x v="2"/>
    <s v="Bengaluru"/>
    <s v="Power"/>
    <n v="21"/>
    <s v="Raman"/>
  </r>
  <r>
    <s v="AMTZ28"/>
    <s v="Customer L"/>
    <d v="2017-10-16T00:00:00"/>
    <n v="29"/>
    <x v="2"/>
    <s v="New Delhi"/>
    <s v="Word"/>
    <n v="32"/>
    <s v="Rajath"/>
  </r>
  <r>
    <s v="AMTZ27"/>
    <s v="Customer M"/>
    <d v="2017-10-18T00:00:00"/>
    <n v="28"/>
    <x v="2"/>
    <s v="Kolkata"/>
    <s v="Office 365"/>
    <n v="10"/>
    <s v="Rajath"/>
  </r>
  <r>
    <s v="AMTZ26"/>
    <s v="Customer M"/>
    <d v="2017-10-19T00:00:00"/>
    <n v="27"/>
    <x v="2"/>
    <s v="Chennai"/>
    <s v="Outlook"/>
    <n v="27"/>
    <s v="Raman"/>
  </r>
  <r>
    <s v="AMTZ24"/>
    <s v="Customer N"/>
    <d v="2017-10-20T00:00:00"/>
    <n v="25"/>
    <x v="2"/>
    <s v="Nagpur"/>
    <s v="PowerBI"/>
    <n v="40"/>
    <s v="Amar"/>
  </r>
  <r>
    <s v="AMTZ25"/>
    <s v="Customer N"/>
    <d v="2017-10-20T00:00:00"/>
    <n v="26"/>
    <x v="2"/>
    <s v="Pune"/>
    <s v="VBA"/>
    <n v="14"/>
    <s v="Amar"/>
  </r>
  <r>
    <s v="AMTZ23"/>
    <s v="Customer O"/>
    <d v="2017-10-24T00:00:00"/>
    <n v="24"/>
    <x v="2"/>
    <s v="Bengaluru"/>
    <s v="Excel"/>
    <n v="34"/>
    <s v="Raman"/>
  </r>
  <r>
    <s v="AMTZ22"/>
    <s v="Customer O"/>
    <d v="2017-10-25T00:00:00"/>
    <n v="23"/>
    <x v="2"/>
    <s v="New Delhi"/>
    <s v="Power"/>
    <n v="15"/>
    <s v="Rajath"/>
  </r>
  <r>
    <s v="AMTZ21"/>
    <s v="Customer P"/>
    <d v="2017-10-26T00:00:00"/>
    <n v="22"/>
    <x v="2"/>
    <s v="Kolkata"/>
    <s v="Word"/>
    <n v="28"/>
    <s v="Rajath"/>
  </r>
  <r>
    <s v="AMTZ20"/>
    <s v="Customer P"/>
    <d v="2017-10-28T00:00:00"/>
    <n v="21"/>
    <x v="2"/>
    <s v="Hyderabad"/>
    <s v="Office 365"/>
    <n v="36"/>
    <s v="Amar"/>
  </r>
  <r>
    <s v="AMTZ18"/>
    <s v="Customer Q"/>
    <d v="2017-10-29T00:00:00"/>
    <n v="19"/>
    <x v="2"/>
    <s v="Pune"/>
    <s v="VBA"/>
    <n v="39"/>
    <s v="Amar"/>
  </r>
  <r>
    <s v="AMTZ19"/>
    <s v="Customer Q"/>
    <d v="2017-10-29T00:00:00"/>
    <n v="20"/>
    <x v="2"/>
    <s v="Chennai"/>
    <s v="Outlook"/>
    <n v="25"/>
    <s v="Raman"/>
  </r>
  <r>
    <s v="AMTZ17"/>
    <s v="Customer Q"/>
    <d v="2017-11-01T00:00:00"/>
    <n v="18"/>
    <x v="1"/>
    <s v="Nagpur"/>
    <s v="PowerBI"/>
    <n v="38"/>
    <s v="Amar"/>
  </r>
  <r>
    <s v="AMTZ16"/>
    <s v="Customer R"/>
    <d v="2017-11-02T00:00:00"/>
    <n v="17"/>
    <x v="1"/>
    <s v="Bengaluru"/>
    <s v="Excel"/>
    <n v="23"/>
    <s v="Raman"/>
  </r>
  <r>
    <s v="AMTZ15"/>
    <s v="Customer R"/>
    <d v="2017-11-10T00:00:00"/>
    <n v="16"/>
    <x v="1"/>
    <s v="New Delhi"/>
    <s v="Power"/>
    <n v="34"/>
    <s v="Rajath"/>
  </r>
  <r>
    <s v="AMTZ14"/>
    <s v="Customer S"/>
    <d v="2017-11-13T00:00:00"/>
    <n v="15"/>
    <x v="1"/>
    <s v="Kolkata"/>
    <s v="Word"/>
    <n v="32"/>
    <s v="Rajath"/>
  </r>
  <r>
    <s v="AMTZ13"/>
    <s v="Customer S"/>
    <d v="2017-11-16T00:00:00"/>
    <n v="14"/>
    <x v="3"/>
    <s v="Hyderabad"/>
    <s v="Excel"/>
    <n v="33"/>
    <s v="Amar"/>
  </r>
  <r>
    <s v="AMTZ12"/>
    <s v="Customer T"/>
    <d v="2017-11-19T00:00:00"/>
    <n v="13"/>
    <x v="4"/>
    <s v="Chennai"/>
    <s v="Outlook"/>
    <n v="11"/>
    <s v="Raman"/>
  </r>
  <r>
    <s v="AMTZ11"/>
    <s v="Customer T"/>
    <d v="2017-11-20T00:00:00"/>
    <n v="12"/>
    <x v="5"/>
    <s v="Pune"/>
    <s v="VBA"/>
    <n v="17"/>
    <s v="Amar"/>
  </r>
  <r>
    <s v="AMTZ10"/>
    <s v="Customer U"/>
    <d v="2017-11-28T00:00:00"/>
    <n v="11"/>
    <x v="4"/>
    <s v="Nagpur"/>
    <s v="Excel"/>
    <n v="24"/>
    <s v="Amar"/>
  </r>
  <r>
    <s v="AMTZ147"/>
    <s v="Customer U"/>
    <d v="2017-11-28T00:00:00"/>
    <n v="150"/>
    <x v="1"/>
    <s v="Nagpur"/>
    <s v="PowerBI"/>
    <n v="24"/>
    <s v="Amar"/>
  </r>
  <r>
    <s v="AMTZ163"/>
    <s v="Customer U"/>
    <d v="2017-11-28T00:00:00"/>
    <n v="165"/>
    <x v="1"/>
    <s v="Nagpur"/>
    <s v="PowerBI"/>
    <n v="24"/>
    <s v="Amar"/>
  </r>
  <r>
    <s v="AMTZ178"/>
    <s v="Customer U"/>
    <d v="2017-11-28T00:00:00"/>
    <n v="180"/>
    <x v="1"/>
    <s v="Nagpur"/>
    <s v="PowerBI"/>
    <n v="24"/>
    <s v="Amar"/>
  </r>
  <r>
    <s v="AMTZ193"/>
    <s v="Customer U"/>
    <d v="2017-11-28T00:00:00"/>
    <n v="195"/>
    <x v="1"/>
    <s v="Nagpur"/>
    <s v="PowerBI"/>
    <n v="24"/>
    <s v="Amar"/>
  </r>
  <r>
    <s v="AMTZ208"/>
    <s v="Customer U"/>
    <d v="2017-11-28T00:00:00"/>
    <n v="210"/>
    <x v="1"/>
    <s v="Nagpur"/>
    <s v="PowerBI"/>
    <n v="24"/>
    <s v="Amar"/>
  </r>
  <r>
    <s v="AMTZ223"/>
    <s v="Customer U"/>
    <d v="2017-11-28T00:00:00"/>
    <n v="225"/>
    <x v="1"/>
    <s v="Nagpur"/>
    <s v="PowerBI"/>
    <n v="24"/>
    <s v="Amar"/>
  </r>
  <r>
    <s v="AMTZ9"/>
    <s v="Customer U"/>
    <d v="2017-11-29T00:00:00"/>
    <n v="10"/>
    <x v="4"/>
    <s v="New Delhi"/>
    <s v="Excel"/>
    <n v="24"/>
    <s v="Rajath"/>
  </r>
  <r>
    <s v="AMTZ146"/>
    <s v="Customer U"/>
    <d v="2017-11-29T00:00:00"/>
    <n v="149"/>
    <x v="1"/>
    <s v="Bengaluru"/>
    <s v="Excel"/>
    <n v="24"/>
    <s v="Raman"/>
  </r>
  <r>
    <s v="AMTZ162"/>
    <s v="Customer U"/>
    <d v="2017-11-29T00:00:00"/>
    <n v="164"/>
    <x v="1"/>
    <s v="Bengaluru"/>
    <s v="Excel"/>
    <n v="24"/>
    <s v="Raman"/>
  </r>
  <r>
    <s v="AMTZ177"/>
    <s v="Customer U"/>
    <d v="2017-11-29T00:00:00"/>
    <n v="179"/>
    <x v="1"/>
    <s v="Bengaluru"/>
    <s v="Excel"/>
    <n v="24"/>
    <s v="Raman"/>
  </r>
  <r>
    <s v="AMTZ192"/>
    <s v="Customer U"/>
    <d v="2017-11-29T00:00:00"/>
    <n v="194"/>
    <x v="1"/>
    <s v="Bengaluru"/>
    <s v="Excel"/>
    <n v="24"/>
    <s v="Raman"/>
  </r>
  <r>
    <s v="AMTZ207"/>
    <s v="Customer U"/>
    <d v="2017-11-29T00:00:00"/>
    <n v="209"/>
    <x v="1"/>
    <s v="Bengaluru"/>
    <s v="Excel"/>
    <n v="24"/>
    <s v="Raman"/>
  </r>
  <r>
    <s v="AMTZ222"/>
    <s v="Customer U"/>
    <d v="2017-11-29T00:00:00"/>
    <n v="224"/>
    <x v="1"/>
    <s v="Bengaluru"/>
    <s v="Excel"/>
    <n v="24"/>
    <s v="Raman"/>
  </r>
  <r>
    <s v="AMTZ8"/>
    <s v="Customer V"/>
    <d v="2017-11-30T00:00:00"/>
    <n v="9"/>
    <x v="5"/>
    <s v="New Delhi"/>
    <s v="Power"/>
    <n v="30"/>
    <s v="Rajath"/>
  </r>
  <r>
    <s v="AMTZ145"/>
    <s v="Customer V"/>
    <d v="2017-11-30T00:00:00"/>
    <n v="148"/>
    <x v="1"/>
    <s v="New Delhi"/>
    <s v="Power"/>
    <n v="30"/>
    <s v="Rajath"/>
  </r>
  <r>
    <s v="AMTZ148"/>
    <s v="Customer Z"/>
    <d v="2017-11-30T00:00:00"/>
    <n v="151"/>
    <x v="1"/>
    <s v="New Delhi"/>
    <s v="Power"/>
    <n v="30"/>
    <s v="Rajath"/>
  </r>
  <r>
    <s v="AMTZ149"/>
    <s v="Customer Y"/>
    <d v="2017-11-30T00:00:00"/>
    <n v="152"/>
    <x v="1"/>
    <s v="New Delhi"/>
    <s v="Power"/>
    <n v="30"/>
    <s v="Rajath"/>
  </r>
  <r>
    <s v="AMTZ150"/>
    <s v="Customer Y"/>
    <d v="2017-11-30T00:00:00"/>
    <n v="153"/>
    <x v="1"/>
    <s v="New Delhi"/>
    <s v="Power"/>
    <n v="30"/>
    <s v="Rajath"/>
  </r>
  <r>
    <s v="AMTZ151"/>
    <s v="Customer X"/>
    <d v="2017-11-30T00:00:00"/>
    <n v="154"/>
    <x v="1"/>
    <s v="New Delhi"/>
    <s v="Power"/>
    <n v="30"/>
    <s v="Rajath"/>
  </r>
  <r>
    <s v="AMTZ152"/>
    <s v="Customer X"/>
    <d v="2017-11-30T00:00:00"/>
    <n v="155"/>
    <x v="1"/>
    <s v="New Delhi"/>
    <s v="Power"/>
    <n v="30"/>
    <s v="Rajath"/>
  </r>
  <r>
    <s v="AMTZ153"/>
    <s v="Customer W"/>
    <d v="2017-11-30T00:00:00"/>
    <n v="156"/>
    <x v="1"/>
    <s v="New Delhi"/>
    <s v="Power"/>
    <n v="30"/>
    <s v="Rajath"/>
  </r>
  <r>
    <s v="AMTZ154"/>
    <s v="Customer W"/>
    <d v="2017-11-30T00:00:00"/>
    <n v="157"/>
    <x v="1"/>
    <s v="New Delhi"/>
    <s v="Power"/>
    <n v="30"/>
    <s v="Rajath"/>
  </r>
  <r>
    <s v="AMTZ155"/>
    <s v="Customer Z"/>
    <d v="2017-11-30T00:00:00"/>
    <n v="158"/>
    <x v="1"/>
    <s v="New Delhi"/>
    <s v="Power"/>
    <n v="30"/>
    <s v="Rajath"/>
  </r>
  <r>
    <s v="AMTZ156"/>
    <s v="Vijay Perepa"/>
    <d v="2017-11-30T00:00:00"/>
    <n v="158"/>
    <x v="1"/>
    <s v="New Delhi"/>
    <s v="Power"/>
    <n v="26"/>
    <s v="Rajath"/>
  </r>
  <r>
    <s v="AMTZ161"/>
    <s v="Customer V"/>
    <d v="2017-11-30T00:00:00"/>
    <n v="163"/>
    <x v="1"/>
    <s v="New Delhi"/>
    <s v="Power"/>
    <n v="30"/>
    <s v="Rajath"/>
  </r>
  <r>
    <s v="AMTZ164"/>
    <s v="Customer Z"/>
    <d v="2017-11-30T00:00:00"/>
    <n v="166"/>
    <x v="1"/>
    <s v="New Delhi"/>
    <s v="Power"/>
    <n v="30"/>
    <s v="Rajath"/>
  </r>
  <r>
    <s v="AMTZ165"/>
    <s v="Customer Y"/>
    <d v="2017-11-30T00:00:00"/>
    <n v="167"/>
    <x v="1"/>
    <s v="New Delhi"/>
    <s v="Power"/>
    <n v="30"/>
    <s v="Rajath"/>
  </r>
  <r>
    <s v="AMTZ166"/>
    <s v="Customer Y"/>
    <d v="2017-11-30T00:00:00"/>
    <n v="168"/>
    <x v="1"/>
    <s v="New Delhi"/>
    <s v="Power"/>
    <n v="30"/>
    <s v="Rajath"/>
  </r>
  <r>
    <s v="AMTZ167"/>
    <s v="Customer X"/>
    <d v="2017-11-30T00:00:00"/>
    <n v="169"/>
    <x v="1"/>
    <s v="New Delhi"/>
    <s v="Power"/>
    <n v="30"/>
    <s v="Rajath"/>
  </r>
  <r>
    <s v="AMTZ168"/>
    <s v="Customer X"/>
    <d v="2017-11-30T00:00:00"/>
    <n v="170"/>
    <x v="1"/>
    <s v="New Delhi"/>
    <s v="Power"/>
    <n v="30"/>
    <s v="Rajath"/>
  </r>
  <r>
    <s v="AMTZ169"/>
    <s v="Customer W"/>
    <d v="2017-11-30T00:00:00"/>
    <n v="171"/>
    <x v="1"/>
    <s v="New Delhi"/>
    <s v="Power"/>
    <n v="30"/>
    <s v="Rajath"/>
  </r>
  <r>
    <s v="AMTZ170"/>
    <s v="Customer W"/>
    <d v="2017-11-30T00:00:00"/>
    <n v="172"/>
    <x v="1"/>
    <s v="New Delhi"/>
    <s v="Power"/>
    <n v="30"/>
    <s v="Rajath"/>
  </r>
  <r>
    <s v="AMTZ171"/>
    <s v="Customer Z"/>
    <d v="2017-11-30T00:00:00"/>
    <n v="173"/>
    <x v="1"/>
    <s v="New Delhi"/>
    <s v="Power"/>
    <n v="30"/>
    <s v="Rajath"/>
  </r>
  <r>
    <s v="AMTZ176"/>
    <s v="Customer V"/>
    <d v="2017-11-30T00:00:00"/>
    <n v="178"/>
    <x v="1"/>
    <s v="New Delhi"/>
    <s v="Power"/>
    <n v="30"/>
    <s v="Rajath"/>
  </r>
  <r>
    <s v="AMTZ179"/>
    <s v="Customer Z"/>
    <d v="2017-11-30T00:00:00"/>
    <n v="181"/>
    <x v="1"/>
    <s v="New Delhi"/>
    <s v="Power"/>
    <n v="30"/>
    <s v="Rajath"/>
  </r>
  <r>
    <s v="AMTZ180"/>
    <s v="Customer Y"/>
    <d v="2017-11-30T00:00:00"/>
    <n v="182"/>
    <x v="1"/>
    <s v="New Delhi"/>
    <s v="Power"/>
    <n v="30"/>
    <s v="Rajath"/>
  </r>
  <r>
    <s v="AMTZ181"/>
    <s v="Customer Y"/>
    <d v="2017-11-30T00:00:00"/>
    <n v="183"/>
    <x v="1"/>
    <s v="New Delhi"/>
    <s v="Power"/>
    <n v="30"/>
    <s v="Rajath"/>
  </r>
  <r>
    <s v="AMTZ182"/>
    <s v="Customer X"/>
    <d v="2017-11-30T00:00:00"/>
    <n v="184"/>
    <x v="1"/>
    <s v="New Delhi"/>
    <s v="Power"/>
    <n v="30"/>
    <s v="Rajath"/>
  </r>
  <r>
    <s v="AMTZ183"/>
    <s v="Customer X"/>
    <d v="2017-11-30T00:00:00"/>
    <n v="185"/>
    <x v="1"/>
    <s v="New Delhi"/>
    <s v="Power"/>
    <n v="30"/>
    <s v="Rajath"/>
  </r>
  <r>
    <s v="AMTZ184"/>
    <s v="Customer W"/>
    <d v="2017-11-30T00:00:00"/>
    <n v="186"/>
    <x v="1"/>
    <s v="New Delhi"/>
    <s v="Power"/>
    <n v="30"/>
    <s v="Rajath"/>
  </r>
  <r>
    <s v="AMTZ185"/>
    <s v="Customer W"/>
    <d v="2017-11-30T00:00:00"/>
    <n v="187"/>
    <x v="1"/>
    <s v="New Delhi"/>
    <s v="Power"/>
    <n v="30"/>
    <s v="Rajath"/>
  </r>
  <r>
    <s v="AMTZ186"/>
    <s v="Customer Z"/>
    <d v="2017-11-30T00:00:00"/>
    <n v="188"/>
    <x v="1"/>
    <s v="New Delhi"/>
    <s v="Power"/>
    <n v="30"/>
    <s v="Rajath"/>
  </r>
  <r>
    <s v="AMTZ191"/>
    <s v="Customer V"/>
    <d v="2017-11-30T00:00:00"/>
    <n v="193"/>
    <x v="1"/>
    <s v="New Delhi"/>
    <s v="Power"/>
    <n v="30"/>
    <s v="Rajath"/>
  </r>
  <r>
    <s v="AMTZ194"/>
    <s v="Customer Z"/>
    <d v="2017-11-30T00:00:00"/>
    <n v="196"/>
    <x v="1"/>
    <s v="New Delhi"/>
    <s v="Power"/>
    <n v="30"/>
    <s v="Rajath"/>
  </r>
  <r>
    <s v="AMTZ195"/>
    <s v="Customer Y"/>
    <d v="2017-11-30T00:00:00"/>
    <n v="197"/>
    <x v="1"/>
    <s v="New Delhi"/>
    <s v="Power"/>
    <n v="30"/>
    <s v="Rajath"/>
  </r>
  <r>
    <s v="AMTZ196"/>
    <s v="Customer Y"/>
    <d v="2017-11-30T00:00:00"/>
    <n v="198"/>
    <x v="1"/>
    <s v="New Delhi"/>
    <s v="Power"/>
    <n v="30"/>
    <s v="Rajath"/>
  </r>
  <r>
    <s v="AMTZ197"/>
    <s v="Customer X"/>
    <d v="2017-11-30T00:00:00"/>
    <n v="199"/>
    <x v="1"/>
    <s v="New Delhi"/>
    <s v="Power"/>
    <n v="30"/>
    <s v="Rajath"/>
  </r>
  <r>
    <s v="AMTZ198"/>
    <s v="Customer X"/>
    <d v="2017-11-30T00:00:00"/>
    <n v="200"/>
    <x v="1"/>
    <s v="New Delhi"/>
    <s v="Power"/>
    <n v="30"/>
    <s v="Rajath"/>
  </r>
  <r>
    <s v="AMTZ199"/>
    <s v="Customer W"/>
    <d v="2017-11-30T00:00:00"/>
    <n v="201"/>
    <x v="1"/>
    <s v="New Delhi"/>
    <s v="Power"/>
    <n v="30"/>
    <s v="Rajath"/>
  </r>
  <r>
    <s v="AMTZ200"/>
    <s v="Customer W"/>
    <d v="2017-11-30T00:00:00"/>
    <n v="202"/>
    <x v="1"/>
    <s v="New Delhi"/>
    <s v="Power"/>
    <n v="30"/>
    <s v="Rajath"/>
  </r>
  <r>
    <s v="AMTZ201"/>
    <s v="Customer Z"/>
    <d v="2017-11-30T00:00:00"/>
    <n v="203"/>
    <x v="1"/>
    <s v="New Delhi"/>
    <s v="Power"/>
    <n v="30"/>
    <s v="Rajath"/>
  </r>
  <r>
    <s v="AMTZ206"/>
    <s v="Customer V"/>
    <d v="2017-11-30T00:00:00"/>
    <n v="208"/>
    <x v="1"/>
    <s v="New Delhi"/>
    <s v="Power"/>
    <n v="30"/>
    <s v="Rajath"/>
  </r>
  <r>
    <s v="AMTZ209"/>
    <s v="Customer Z"/>
    <d v="2017-11-30T00:00:00"/>
    <n v="211"/>
    <x v="1"/>
    <s v="New Delhi"/>
    <s v="Power"/>
    <n v="30"/>
    <s v="Rajath"/>
  </r>
  <r>
    <s v="AMTZ210"/>
    <s v="Customer Y"/>
    <d v="2017-11-30T00:00:00"/>
    <n v="212"/>
    <x v="1"/>
    <s v="New Delhi"/>
    <s v="Power"/>
    <n v="30"/>
    <s v="Rajath"/>
  </r>
  <r>
    <s v="AMTZ211"/>
    <s v="Customer Y"/>
    <d v="2017-11-30T00:00:00"/>
    <n v="213"/>
    <x v="1"/>
    <s v="New Delhi"/>
    <s v="Power"/>
    <n v="30"/>
    <s v="Rajath"/>
  </r>
  <r>
    <s v="AMTZ212"/>
    <s v="Customer X"/>
    <d v="2017-11-30T00:00:00"/>
    <n v="214"/>
    <x v="1"/>
    <s v="New Delhi"/>
    <s v="Power"/>
    <n v="30"/>
    <s v="Rajath"/>
  </r>
  <r>
    <s v="AMTZ213"/>
    <s v="Customer X"/>
    <d v="2017-11-30T00:00:00"/>
    <n v="215"/>
    <x v="1"/>
    <s v="New Delhi"/>
    <s v="Power"/>
    <n v="30"/>
    <s v="Rajath"/>
  </r>
  <r>
    <s v="AMTZ214"/>
    <s v="Customer W"/>
    <d v="2017-11-30T00:00:00"/>
    <n v="216"/>
    <x v="1"/>
    <s v="New Delhi"/>
    <s v="Power"/>
    <n v="30"/>
    <s v="Rajath"/>
  </r>
  <r>
    <s v="AMTZ215"/>
    <s v="Customer W"/>
    <d v="2017-11-30T00:00:00"/>
    <n v="217"/>
    <x v="1"/>
    <s v="New Delhi"/>
    <s v="Power"/>
    <n v="30"/>
    <s v="Rajath"/>
  </r>
  <r>
    <s v="AMTZ216"/>
    <s v="Customer Z"/>
    <d v="2017-11-30T00:00:00"/>
    <n v="218"/>
    <x v="1"/>
    <s v="New Delhi"/>
    <s v="Power"/>
    <n v="30"/>
    <s v="Rajath"/>
  </r>
  <r>
    <s v="AMTZ221"/>
    <s v="Customer V"/>
    <d v="2017-11-30T00:00:00"/>
    <n v="223"/>
    <x v="1"/>
    <s v="New Delhi"/>
    <s v="Power"/>
    <n v="30"/>
    <s v="Rajath"/>
  </r>
  <r>
    <s v="AMTZ224"/>
    <s v="Customer Z"/>
    <d v="2017-11-30T00:00:00"/>
    <n v="226"/>
    <x v="1"/>
    <s v="New Delhi"/>
    <s v="Power"/>
    <n v="30"/>
    <s v="Rajath"/>
  </r>
  <r>
    <s v="AMTZ225"/>
    <s v="Customer Y"/>
    <d v="2017-11-30T00:00:00"/>
    <n v="227"/>
    <x v="1"/>
    <s v="New Delhi"/>
    <s v="Power"/>
    <n v="30"/>
    <s v="Rajath"/>
  </r>
  <r>
    <s v="AMTZ226"/>
    <s v="Customer Y"/>
    <d v="2017-11-30T00:00:00"/>
    <n v="228"/>
    <x v="1"/>
    <s v="New Delhi"/>
    <s v="Power"/>
    <n v="30"/>
    <s v="Rajath"/>
  </r>
  <r>
    <s v="AMTZ227"/>
    <s v="Customer X"/>
    <d v="2017-11-30T00:00:00"/>
    <n v="229"/>
    <x v="1"/>
    <s v="New Delhi"/>
    <s v="Power"/>
    <n v="30"/>
    <s v="Rajath"/>
  </r>
  <r>
    <s v="AMTZ228"/>
    <s v="Customer X"/>
    <d v="2017-11-30T00:00:00"/>
    <n v="230"/>
    <x v="1"/>
    <s v="New Delhi"/>
    <s v="Power"/>
    <n v="30"/>
    <s v="Rajath"/>
  </r>
  <r>
    <s v="AMTZ229"/>
    <s v="Customer W"/>
    <d v="2017-11-30T00:00:00"/>
    <n v="231"/>
    <x v="1"/>
    <s v="New Delhi"/>
    <s v="Power"/>
    <n v="30"/>
    <s v="Rajath"/>
  </r>
  <r>
    <s v="AMTZ230"/>
    <s v="Customer W"/>
    <d v="2017-11-30T00:00:00"/>
    <n v="232"/>
    <x v="1"/>
    <s v="New Delhi"/>
    <s v="Power"/>
    <n v="30"/>
    <s v="Rajath"/>
  </r>
  <r>
    <s v="AMTZ7"/>
    <s v="Customer V"/>
    <d v="2017-12-02T00:00:00"/>
    <n v="8"/>
    <x v="4"/>
    <s v="Kolkata"/>
    <s v="Word"/>
    <n v="18"/>
    <s v="Rajath"/>
  </r>
  <r>
    <s v="AMTZ144"/>
    <s v="Customer V"/>
    <d v="2017-12-02T00:00:00"/>
    <n v="147"/>
    <x v="1"/>
    <s v="Kolkata"/>
    <s v="Word"/>
    <n v="18"/>
    <s v="Rajath"/>
  </r>
  <r>
    <s v="AMTZ160"/>
    <s v="Customer V"/>
    <d v="2017-12-02T00:00:00"/>
    <n v="162"/>
    <x v="1"/>
    <s v="Kolkata"/>
    <s v="Word"/>
    <n v="18"/>
    <s v="Rajath"/>
  </r>
  <r>
    <s v="AMTZ175"/>
    <s v="Customer V"/>
    <d v="2017-12-02T00:00:00"/>
    <n v="177"/>
    <x v="1"/>
    <s v="Kolkata"/>
    <s v="Word"/>
    <n v="18"/>
    <s v="Rajath"/>
  </r>
  <r>
    <s v="AMTZ190"/>
    <s v="Customer V"/>
    <d v="2017-12-02T00:00:00"/>
    <n v="192"/>
    <x v="1"/>
    <s v="Kolkata"/>
    <s v="Word"/>
    <n v="18"/>
    <s v="Rajath"/>
  </r>
  <r>
    <s v="AMTZ205"/>
    <s v="Customer V"/>
    <d v="2017-12-02T00:00:00"/>
    <n v="207"/>
    <x v="1"/>
    <s v="Kolkata"/>
    <s v="Word"/>
    <n v="18"/>
    <s v="Rajath"/>
  </r>
  <r>
    <s v="AMTZ220"/>
    <s v="Customer V"/>
    <d v="2017-12-02T00:00:00"/>
    <n v="222"/>
    <x v="1"/>
    <s v="Kolkata"/>
    <s v="Word"/>
    <n v="18"/>
    <s v="Rajath"/>
  </r>
  <r>
    <s v="AMTZ6"/>
    <s v="Customer W"/>
    <d v="2017-12-06T00:00:00"/>
    <n v="7"/>
    <x v="5"/>
    <s v="New Delhi"/>
    <s v="Office 365"/>
    <n v="25"/>
    <s v="Rajath"/>
  </r>
  <r>
    <s v="AMTZ143"/>
    <s v="Customer W"/>
    <d v="2017-12-06T00:00:00"/>
    <n v="146"/>
    <x v="1"/>
    <s v="Chennai"/>
    <s v="Office 365"/>
    <n v="25"/>
    <s v="Raman"/>
  </r>
  <r>
    <s v="AMTZ159"/>
    <s v="Customer W"/>
    <d v="2017-12-06T00:00:00"/>
    <n v="161"/>
    <x v="1"/>
    <s v="Chennai"/>
    <s v="Office 365"/>
    <n v="25"/>
    <s v="Raman"/>
  </r>
  <r>
    <s v="AMTZ174"/>
    <s v="Customer W"/>
    <d v="2017-12-06T00:00:00"/>
    <n v="176"/>
    <x v="1"/>
    <s v="Chennai"/>
    <s v="Office 365"/>
    <n v="25"/>
    <s v="Raman"/>
  </r>
  <r>
    <s v="AMTZ189"/>
    <s v="Customer W"/>
    <d v="2017-12-06T00:00:00"/>
    <n v="191"/>
    <x v="1"/>
    <s v="Chennai"/>
    <s v="Office 365"/>
    <n v="25"/>
    <s v="Raman"/>
  </r>
  <r>
    <s v="AMTZ204"/>
    <s v="Customer W"/>
    <d v="2017-12-06T00:00:00"/>
    <n v="206"/>
    <x v="1"/>
    <s v="Chennai"/>
    <s v="Office 365"/>
    <n v="25"/>
    <s v="Raman"/>
  </r>
  <r>
    <s v="AMTZ219"/>
    <s v="Customer W"/>
    <d v="2017-12-06T00:00:00"/>
    <n v="221"/>
    <x v="1"/>
    <s v="Chennai"/>
    <s v="Office 365"/>
    <n v="25"/>
    <s v="Raman"/>
  </r>
  <r>
    <s v="AMTZ5"/>
    <s v="Customer W"/>
    <d v="2017-12-15T00:00:00"/>
    <n v="6"/>
    <x v="1"/>
    <s v="New Delhi"/>
    <s v="Outlook"/>
    <n v="18"/>
    <s v="Rajath"/>
  </r>
  <r>
    <s v="AMTZ142"/>
    <s v="Customer W"/>
    <d v="2017-12-15T00:00:00"/>
    <n v="145"/>
    <x v="1"/>
    <s v="New Delhi"/>
    <s v="Outlook"/>
    <n v="18"/>
    <s v="Rajath"/>
  </r>
  <r>
    <s v="AMTZ158"/>
    <s v="Customer W"/>
    <d v="2017-12-15T00:00:00"/>
    <n v="160"/>
    <x v="1"/>
    <s v="New Delhi"/>
    <s v="Outlook"/>
    <n v="18"/>
    <s v="Rajath"/>
  </r>
  <r>
    <s v="AMTZ173"/>
    <s v="Customer W"/>
    <d v="2017-12-15T00:00:00"/>
    <n v="175"/>
    <x v="1"/>
    <s v="New Delhi"/>
    <s v="Outlook"/>
    <n v="18"/>
    <s v="Rajath"/>
  </r>
  <r>
    <s v="AMTZ188"/>
    <s v="Customer W"/>
    <d v="2017-12-15T00:00:00"/>
    <n v="190"/>
    <x v="1"/>
    <s v="New Delhi"/>
    <s v="Outlook"/>
    <n v="18"/>
    <s v="Rajath"/>
  </r>
  <r>
    <s v="AMTZ203"/>
    <s v="Customer W"/>
    <d v="2017-12-15T00:00:00"/>
    <n v="205"/>
    <x v="1"/>
    <s v="New Delhi"/>
    <s v="Outlook"/>
    <n v="18"/>
    <s v="Rajath"/>
  </r>
  <r>
    <s v="AMTZ218"/>
    <s v="Customer W"/>
    <d v="2017-12-15T00:00:00"/>
    <n v="220"/>
    <x v="1"/>
    <s v="New Delhi"/>
    <s v="Outlook"/>
    <n v="18"/>
    <s v="Rajath"/>
  </r>
  <r>
    <s v="AMTZ4"/>
    <s v="Customer X"/>
    <d v="2017-12-18T00:00:00"/>
    <n v="4"/>
    <x v="6"/>
    <s v="New Delhi"/>
    <s v="PowerBI"/>
    <n v="22"/>
    <s v="Rajath"/>
  </r>
  <r>
    <s v="AMTZ140"/>
    <s v="Customer X"/>
    <d v="2017-12-18T00:00:00"/>
    <n v="143"/>
    <x v="1"/>
    <s v="Nagpur"/>
    <s v="PowerBI"/>
    <n v="22"/>
    <s v="Amar"/>
  </r>
  <r>
    <s v="AMTZ2"/>
    <s v="Customer Y"/>
    <d v="2017-12-25T00:00:00"/>
    <n v="2"/>
    <x v="1"/>
    <s v="New Delhi"/>
    <s v="Power"/>
    <n v="9"/>
    <s v="Rajath"/>
  </r>
  <r>
    <s v="AMTZ3"/>
    <s v="Customer Y"/>
    <d v="2017-12-25T00:00:00"/>
    <n v="3"/>
    <x v="4"/>
    <s v="Bengaluru"/>
    <s v="Excel"/>
    <n v="39"/>
    <s v="Raman"/>
  </r>
  <r>
    <s v="AMTZ138"/>
    <s v="Customer Y"/>
    <d v="2017-12-25T00:00:00"/>
    <n v="141"/>
    <x v="1"/>
    <s v="New Delhi"/>
    <s v="Power"/>
    <n v="9"/>
    <s v="Rajath"/>
  </r>
  <r>
    <s v="AMTZ139"/>
    <s v="Customer Y"/>
    <d v="2017-12-25T00:00:00"/>
    <n v="142"/>
    <x v="1"/>
    <s v="Bengaluru"/>
    <s v="Excel"/>
    <n v="39"/>
    <s v="Raman"/>
  </r>
  <r>
    <s v="AMTZ1"/>
    <s v="Customer Z"/>
    <d v="2017-12-30T00:00:00"/>
    <n v="1"/>
    <x v="1"/>
    <s v="New Delhi"/>
    <s v="Excel"/>
    <e v="#DIV/0!"/>
    <s v="Rajath"/>
  </r>
  <r>
    <s v="AMTZ137"/>
    <s v="Customer Z"/>
    <d v="2017-12-30T00:00:00"/>
    <n v="140"/>
    <x v="1"/>
    <s v="Kolkata"/>
    <s v="Word"/>
    <n v="19"/>
    <s v="Rajath"/>
  </r>
  <r>
    <s v="AMTZ5"/>
    <s v="Customer X"/>
    <d v="2018-01-01T00:00:00"/>
    <n v="5"/>
    <x v="1"/>
    <s v="Pune"/>
    <s v="VBA"/>
    <n v="8"/>
    <s v="Amar"/>
  </r>
  <r>
    <s v="AMTZ141"/>
    <s v="Customer X"/>
    <d v="2018-01-01T00:00:00"/>
    <n v="144"/>
    <x v="1"/>
    <s v="Pune"/>
    <s v="VBA"/>
    <n v="8"/>
    <s v="Amar"/>
  </r>
  <r>
    <s v="AMTZ157"/>
    <s v="Customer X"/>
    <d v="2018-01-01T00:00:00"/>
    <n v="159"/>
    <x v="1"/>
    <s v="Pune"/>
    <s v="VBA"/>
    <n v="8"/>
    <s v="Amar"/>
  </r>
  <r>
    <s v="AMTZ172"/>
    <s v="Customer X"/>
    <d v="2018-01-01T00:00:00"/>
    <n v="174"/>
    <x v="1"/>
    <s v="Pune"/>
    <s v="VBA"/>
    <n v="8"/>
    <s v="Amar"/>
  </r>
  <r>
    <s v="AMTZ187"/>
    <s v="Customer X"/>
    <d v="2018-01-01T00:00:00"/>
    <n v="189"/>
    <x v="1"/>
    <s v="Pune"/>
    <s v="VBA"/>
    <n v="8"/>
    <s v="Amar"/>
  </r>
  <r>
    <s v="AMTZ202"/>
    <s v="Customer X"/>
    <d v="2018-01-01T00:00:00"/>
    <n v="204"/>
    <x v="1"/>
    <s v="Pune"/>
    <s v="VBA"/>
    <n v="8"/>
    <s v="Amar"/>
  </r>
  <r>
    <s v="AMTZ217"/>
    <s v="Customer X"/>
    <d v="2018-01-01T00:00:00"/>
    <n v="219"/>
    <x v="1"/>
    <s v="Pune"/>
    <s v="VBA"/>
    <n v="8"/>
    <s v="Amar"/>
  </r>
  <r>
    <s v="AMTZ5"/>
    <s v="Customer X"/>
    <d v="2018-01-01T00:00:00"/>
    <n v="5"/>
    <x v="1"/>
    <s v="Pune"/>
    <s v="VBA"/>
    <n v="8"/>
    <s v="Amar"/>
  </r>
  <r>
    <s v="AMTZ141"/>
    <s v="Customer X"/>
    <d v="2018-01-01T00:00:00"/>
    <n v="144"/>
    <x v="1"/>
    <s v="Pune"/>
    <s v="VBA"/>
    <n v="8"/>
    <s v="Amar"/>
  </r>
  <r>
    <s v="AMTZ157"/>
    <s v="Customer X"/>
    <d v="2018-01-01T00:00:00"/>
    <n v="159"/>
    <x v="1"/>
    <s v="Pune"/>
    <s v="VBA"/>
    <n v="8"/>
    <s v="Amar"/>
  </r>
  <r>
    <s v="AMTZ172"/>
    <s v="Customer X"/>
    <d v="2018-01-01T00:00:00"/>
    <n v="174"/>
    <x v="1"/>
    <s v="Pune"/>
    <s v="VBA"/>
    <n v="8"/>
    <s v="Amar"/>
  </r>
  <r>
    <s v="AMTZ187"/>
    <s v="Customer X"/>
    <d v="2018-01-01T00:00:00"/>
    <n v="189"/>
    <x v="1"/>
    <s v="Pune"/>
    <s v="VBA"/>
    <n v="8"/>
    <s v="Amar"/>
  </r>
  <r>
    <s v="AMTZ202"/>
    <s v="Customer X"/>
    <d v="2018-01-01T00:00:00"/>
    <n v="204"/>
    <x v="1"/>
    <s v="Pune"/>
    <s v="VBA"/>
    <n v="8"/>
    <s v="Amar"/>
  </r>
  <r>
    <s v="AMTZ217"/>
    <s v="Customer X"/>
    <d v="2018-01-01T00:00:00"/>
    <n v="219"/>
    <x v="1"/>
    <s v="Pune"/>
    <s v="VBA"/>
    <n v="8"/>
    <s v="Amar"/>
  </r>
  <r>
    <s v="AMTZ128"/>
    <s v="Customer A"/>
    <d v="2018-01-07T00:00:00"/>
    <n v="130"/>
    <x v="0"/>
    <s v="Chennai"/>
    <s v="PowerBI"/>
    <n v="26"/>
    <s v="Raman"/>
  </r>
  <r>
    <s v="AMTZ128"/>
    <s v="Customer A"/>
    <d v="2018-01-07T00:00:00"/>
    <n v="131"/>
    <x v="0"/>
    <s v="Chennai"/>
    <s v="PowerBI"/>
    <n v="26"/>
    <s v="Raman"/>
  </r>
  <r>
    <s v="customer unique"/>
    <s v="customer unique"/>
    <d v="2018-01-07T00:00:00"/>
    <n v="132"/>
    <x v="0"/>
    <s v="Chennai"/>
    <s v="PowerBI"/>
    <n v="26"/>
    <s v="Raman"/>
  </r>
  <r>
    <s v="AMTZ141"/>
    <s v="Customer A"/>
    <d v="2018-01-07T00:00:00"/>
    <n v="130"/>
    <x v="0"/>
    <s v="Chennai"/>
    <s v="PowerBI"/>
    <n v="26"/>
    <s v="Raman"/>
  </r>
  <r>
    <s v="AMTZ142"/>
    <s v="Customer A"/>
    <d v="2018-01-07T00:00:00"/>
    <n v="131"/>
    <x v="0"/>
    <s v="Chennai"/>
    <s v="PowerBI"/>
    <n v="26"/>
    <s v="Raman"/>
  </r>
  <r>
    <s v="AMTZ127"/>
    <s v="Customer A"/>
    <d v="2018-01-10T00:00:00"/>
    <n v="129"/>
    <x v="0"/>
    <s v="Pune"/>
    <s v="Excel"/>
    <n v="26"/>
    <s v="Amar"/>
  </r>
  <r>
    <s v="AMTZ140"/>
    <s v="Customer A"/>
    <d v="2018-01-10T00:00:00"/>
    <n v="129"/>
    <x v="0"/>
    <s v="Pune"/>
    <s v="Excel"/>
    <n v="26"/>
    <s v="Amar"/>
  </r>
  <r>
    <s v="AMTZ125"/>
    <s v="Customer AA"/>
    <d v="2018-01-11T00:00:00"/>
    <n v="127"/>
    <x v="0"/>
    <s v="Pune"/>
    <s v="Outlook"/>
    <n v="37"/>
    <s v="Amar"/>
  </r>
  <r>
    <s v="AMTZ126"/>
    <s v="Customer A"/>
    <d v="2018-01-11T00:00:00"/>
    <n v="128"/>
    <x v="0"/>
    <s v="Chennai"/>
    <s v="Office 365"/>
    <n v="8"/>
    <s v="Raman"/>
  </r>
  <r>
    <s v="AMTZ135"/>
    <s v="Customer AA"/>
    <d v="2018-01-11T00:00:00"/>
    <n v="133"/>
    <x v="0"/>
    <s v="Pune"/>
    <s v="Outlook"/>
    <n v="37"/>
    <s v="Amar"/>
  </r>
  <r>
    <s v="AMTZ136"/>
    <s v="Customer AB"/>
    <d v="2018-01-11T00:00:00"/>
    <n v="134"/>
    <x v="0"/>
    <s v="Pune"/>
    <s v="Outlook"/>
    <n v="100"/>
    <s v="Amar"/>
  </r>
  <r>
    <s v="AMTZ137"/>
    <s v="Customer AB"/>
    <d v="2018-01-11T00:00:00"/>
    <n v="135"/>
    <x v="0"/>
    <s v="Pune"/>
    <s v="Outlook"/>
    <n v="100"/>
    <s v="Amar"/>
  </r>
  <r>
    <s v="AMTZ138"/>
    <s v="Customer AB"/>
    <d v="2018-01-11T00:00:00"/>
    <n v="136"/>
    <x v="0"/>
    <s v="Pune"/>
    <s v="Outlook"/>
    <n v="37"/>
    <s v="Amar"/>
  </r>
  <r>
    <s v="AMTZ139"/>
    <s v="Customer A"/>
    <d v="2018-01-11T00:00:00"/>
    <n v="128"/>
    <x v="0"/>
    <s v="Chennai"/>
    <s v="Office 365"/>
    <n v="8"/>
    <s v="Raman"/>
  </r>
  <r>
    <s v="AMTZ135"/>
    <s v="Customer AA"/>
    <d v="2018-01-11T00:00:00"/>
    <n v="132"/>
    <x v="0"/>
    <s v="Chennai"/>
    <s v="Office 365"/>
    <n v="8"/>
    <s v="Raman"/>
  </r>
  <r>
    <s v="AMTZ135"/>
    <s v="Customer AA"/>
    <d v="2018-01-11T00:00:00"/>
    <n v="133"/>
    <x v="0"/>
    <s v="Chennai"/>
    <s v="Office 365"/>
    <n v="8"/>
    <s v="Raman"/>
  </r>
  <r>
    <s v="AMTZ135"/>
    <s v="Customer AA"/>
    <d v="2018-01-11T00:00:00"/>
    <n v="134"/>
    <x v="0"/>
    <s v="Chennai"/>
    <s v="Office 365"/>
    <n v="8"/>
    <s v="Raman"/>
  </r>
  <r>
    <s v="AMTZ135"/>
    <s v="Customer AA"/>
    <d v="2018-01-11T00:00:00"/>
    <n v="135"/>
    <x v="0"/>
    <s v="Chennai"/>
    <s v="Office 365"/>
    <n v="8"/>
    <s v="Raman"/>
  </r>
  <r>
    <s v="AMTZ135"/>
    <s v="Customer AA"/>
    <d v="2018-01-11T00:00:00"/>
    <n v="136"/>
    <x v="0"/>
    <s v="Chennai"/>
    <s v="Office 365"/>
    <n v="8"/>
    <s v="Raman"/>
  </r>
  <r>
    <s v="AMTZ135"/>
    <s v="Customer AA"/>
    <d v="2018-01-11T00:00:00"/>
    <n v="137"/>
    <x v="0"/>
    <s v="Chennai"/>
    <s v="Office 365"/>
    <n v="8"/>
    <s v="Raman"/>
  </r>
  <r>
    <s v="AMTZ135"/>
    <s v="Customer AA"/>
    <d v="2018-01-11T00:00:00"/>
    <n v="138"/>
    <x v="0"/>
    <s v="Chennai"/>
    <s v="Office 365"/>
    <n v="8"/>
    <s v="Raman"/>
  </r>
  <r>
    <s v="AMTZ136"/>
    <s v="Customer AA"/>
    <d v="2018-01-11T00:00:00"/>
    <n v="139"/>
    <x v="0"/>
    <s v="Chennai"/>
    <s v="Office 365"/>
    <n v="234"/>
    <s v="Raman"/>
  </r>
  <r>
    <s v="AMTZ122"/>
    <s v="Customer AB"/>
    <d v="2018-01-13T00:00:00"/>
    <n v="124"/>
    <x v="0"/>
    <s v="New Delhi"/>
    <s v="Excel"/>
    <n v="33"/>
    <s v="Rajath"/>
  </r>
  <r>
    <s v="AMTZ123"/>
    <s v="Customer AB"/>
    <d v="2018-01-13T00:00:00"/>
    <n v="125"/>
    <x v="0"/>
    <s v="Bengaluru"/>
    <s v="PowerBI"/>
    <n v="21"/>
    <s v="Raman"/>
  </r>
  <r>
    <s v="AMTZ124"/>
    <s v="Customer AA"/>
    <d v="2018-01-13T00:00:00"/>
    <n v="126"/>
    <x v="0"/>
    <s v="Nagpur"/>
    <s v="VBA"/>
    <n v="25"/>
    <s v="Amar"/>
  </r>
  <r>
    <s v="AMTZ121"/>
    <s v="Customer AB"/>
    <d v="2018-01-15T00:00:00"/>
    <n v="123"/>
    <x v="0"/>
    <s v="Kolkata"/>
    <s v="Power"/>
    <n v="10"/>
    <s v="Rajath"/>
  </r>
  <r>
    <s v="AMTZ120"/>
    <s v="Customer AC"/>
    <d v="2018-01-16T00:00:00"/>
    <n v="122"/>
    <x v="0"/>
    <s v="Hyderabad"/>
    <s v="Word"/>
    <n v="8"/>
    <s v="Amar"/>
  </r>
  <r>
    <s v="AMTZ119"/>
    <s v="Customer AC"/>
    <d v="2018-01-21T00:00:00"/>
    <n v="121"/>
    <x v="0"/>
    <s v="Chennai"/>
    <s v="Office 365"/>
    <n v="17"/>
    <s v="Raman"/>
  </r>
  <r>
    <s v="AMTZ118"/>
    <s v="Customer AD"/>
    <d v="2018-01-22T00:00:00"/>
    <n v="120"/>
    <x v="0"/>
    <s v="Pune"/>
    <s v="Outlook"/>
    <n v="30"/>
    <s v="Amar"/>
  </r>
  <r>
    <s v="AMTZ117"/>
    <s v="Customer AD"/>
    <d v="2018-01-29T00:00:00"/>
    <n v="119"/>
    <x v="0"/>
    <s v="Nagpur"/>
    <s v="VBA"/>
    <n v="24"/>
    <s v="Amar"/>
  </r>
  <r>
    <s v="AMTZ116"/>
    <s v="Customer AE"/>
    <d v="2018-01-31T00:00:00"/>
    <n v="118"/>
    <x v="0"/>
    <s v="Bengaluru"/>
    <s v="PowerBI"/>
    <n v="31"/>
    <s v="Raman"/>
  </r>
  <r>
    <s v="AMTZ115"/>
    <s v="Customer AE"/>
    <d v="2018-02-01T00:00:00"/>
    <n v="117"/>
    <x v="1"/>
    <s v="New Delhi"/>
    <s v="Excel"/>
    <n v="30"/>
    <s v="Rajath"/>
  </r>
  <r>
    <s v="AMTZ114"/>
    <s v="Customer AF"/>
    <d v="2018-02-02T00:00:00"/>
    <n v="116"/>
    <x v="1"/>
    <s v="Kolkata"/>
    <s v="Power"/>
    <n v="15"/>
    <s v="Rajath"/>
  </r>
  <r>
    <s v="AMTZ113"/>
    <s v="Customer AF"/>
    <d v="2018-02-03T00:00:00"/>
    <n v="115"/>
    <x v="1"/>
    <s v="Hyderabad"/>
    <s v="Word"/>
    <n v="19"/>
    <s v="Amar"/>
  </r>
  <r>
    <s v="AMTZ112"/>
    <s v="Customer AG"/>
    <d v="2018-02-09T00:00:00"/>
    <n v="114"/>
    <x v="1"/>
    <s v="Chennai"/>
    <s v="Office 365"/>
    <n v="40"/>
    <s v="Raman"/>
  </r>
  <r>
    <s v="AMTZ111"/>
    <s v="Customer AG"/>
    <d v="2018-02-11T00:00:00"/>
    <n v="113"/>
    <x v="1"/>
    <s v="Pune"/>
    <s v="Outlook"/>
    <n v="21"/>
    <s v="Amar"/>
  </r>
  <r>
    <s v="AMTZ110"/>
    <s v="Customer AH"/>
    <d v="2018-02-14T00:00:00"/>
    <n v="111"/>
    <x v="1"/>
    <s v="Nagpur"/>
    <s v="PowerBI"/>
    <n v="28"/>
    <s v="Amar"/>
  </r>
  <r>
    <s v="AMTZ110"/>
    <s v="Customer AH"/>
    <d v="2018-02-14T00:00:00"/>
    <n v="112"/>
    <x v="1"/>
    <s v="New Delhi"/>
    <s v="VBA"/>
    <n v="25"/>
    <s v="Rajath"/>
  </r>
  <r>
    <s v="AMTZ109"/>
    <s v="Customer AI"/>
    <d v="2018-02-18T00:00:00"/>
    <n v="110"/>
    <x v="1"/>
    <s v="Bengaluru"/>
    <s v="Excel"/>
    <n v="15"/>
    <s v="Raman"/>
  </r>
  <r>
    <s v="AMTZ108"/>
    <s v="Customer AI"/>
    <d v="2018-02-20T00:00:00"/>
    <n v="109"/>
    <x v="1"/>
    <s v="New Delhi"/>
    <s v="Power"/>
    <n v="27"/>
    <s v="Rajath"/>
  </r>
  <r>
    <s v="AMTZ107"/>
    <s v="Customer AJ"/>
    <d v="2018-02-22T00:00:00"/>
    <n v="108"/>
    <x v="1"/>
    <s v="Kolkata"/>
    <s v="Word"/>
    <n v="19"/>
    <s v="Rajath"/>
  </r>
  <r>
    <s v="AMTZ105"/>
    <s v="Customer AK"/>
    <d v="2018-03-03T00:00:00"/>
    <n v="106"/>
    <x v="1"/>
    <s v="Pune"/>
    <s v="Outlook"/>
    <n v="21"/>
    <s v="Amar"/>
  </r>
  <r>
    <s v="AMTZ106"/>
    <s v="Customer AJ"/>
    <d v="2018-03-03T00:00:00"/>
    <n v="107"/>
    <x v="1"/>
    <s v="Chennai"/>
    <s v="Office 365"/>
    <n v="9"/>
    <s v="Raman"/>
  </r>
  <r>
    <s v="AMTZ104"/>
    <s v="Customer AK"/>
    <d v="2018-03-04T00:00:00"/>
    <n v="105"/>
    <x v="1"/>
    <s v="Nagpur"/>
    <s v="VBA"/>
    <n v="33"/>
    <s v="Amar"/>
  </r>
  <r>
    <s v="AMTZ103"/>
    <s v="Customer AL"/>
    <d v="2018-03-08T00:00:00"/>
    <n v="104"/>
    <x v="1"/>
    <s v="Bengaluru"/>
    <s v="PowerBI"/>
    <n v="33"/>
    <s v="Raman"/>
  </r>
  <r>
    <s v="AMTZ102"/>
    <s v="Customer AL"/>
    <d v="2018-03-09T00:00:00"/>
    <n v="103"/>
    <x v="1"/>
    <s v="New Delhi"/>
    <s v="Excel"/>
    <n v="19"/>
    <s v="Rajath"/>
  </r>
  <r>
    <s v="AMTZ101"/>
    <s v="Customer AM"/>
    <d v="2018-03-21T00:00:00"/>
    <n v="102"/>
    <x v="1"/>
    <s v="Kolkata"/>
    <s v="Power"/>
    <n v="20"/>
    <s v="Rajath"/>
  </r>
  <r>
    <s v="AMTZ99"/>
    <s v="Customer AN"/>
    <d v="2018-03-22T00:00:00"/>
    <n v="100"/>
    <x v="1"/>
    <s v="Chennai"/>
    <s v="Office 365"/>
    <n v="34"/>
    <s v="Raman"/>
  </r>
  <r>
    <s v="AMTZ100"/>
    <s v="Customer AM"/>
    <d v="2018-03-22T00:00:00"/>
    <n v="101"/>
    <x v="1"/>
    <s v="Hyderabad"/>
    <s v="Word"/>
    <n v="11"/>
    <s v="Amar"/>
  </r>
  <r>
    <s v="AMTZ98"/>
    <s v="Customer AN"/>
    <d v="2018-03-25T00:00:00"/>
    <n v="99"/>
    <x v="2"/>
    <s v="Pune"/>
    <s v="Outlook"/>
    <n v="39"/>
    <s v="Amar"/>
  </r>
  <r>
    <s v="AMTZ97"/>
    <s v="Customer AO"/>
    <d v="2018-03-26T00:00:00"/>
    <n v="98"/>
    <x v="2"/>
    <s v="Nagpur"/>
    <s v="VBA"/>
    <n v="23"/>
    <s v="Amar"/>
  </r>
  <r>
    <s v="AMTZ96"/>
    <s v="Customer AO"/>
    <d v="2018-04-03T00:00:00"/>
    <n v="97"/>
    <x v="2"/>
    <s v="Bengaluru"/>
    <s v="PowerBI"/>
    <n v="25"/>
    <s v="Raman"/>
  </r>
  <r>
    <s v="AMTZ95"/>
    <s v="Customer AP"/>
    <d v="2018-04-04T00:00:00"/>
    <n v="96"/>
    <x v="2"/>
    <s v="New Delhi"/>
    <s v="Excel"/>
    <n v="19"/>
    <s v="Rajath"/>
  </r>
  <r>
    <s v="AMTZ94"/>
    <s v="Customer AP"/>
    <d v="2018-04-08T00:00:00"/>
    <n v="95"/>
    <x v="2"/>
    <s v="Kolkata"/>
    <s v="Power"/>
    <n v="10"/>
    <s v="Rajath"/>
  </r>
  <r>
    <s v="AMTZ93"/>
    <s v="Customer AQ"/>
    <d v="2018-04-09T00:00:00"/>
    <n v="94"/>
    <x v="2"/>
    <s v="Hyderabad"/>
    <s v="Word"/>
    <n v="11"/>
    <s v="Amar"/>
  </r>
  <r>
    <s v="AMTZ92"/>
    <s v="Customer AQ"/>
    <d v="2018-04-14T00:00:00"/>
    <n v="93"/>
    <x v="2"/>
    <s v="Chennai"/>
    <s v="Outlook"/>
    <n v="18"/>
    <s v="Raman"/>
  </r>
  <r>
    <s v="AMTZ91"/>
    <s v="Customer AR"/>
    <d v="2018-04-15T00:00:00"/>
    <n v="92"/>
    <x v="2"/>
    <s v="Pune"/>
    <s v="VBA"/>
    <n v="35"/>
    <s v="Amar"/>
  </r>
  <r>
    <s v="AMTZ90"/>
    <s v="Customer AR"/>
    <d v="2018-04-17T00:00:00"/>
    <n v="91"/>
    <x v="2"/>
    <s v="Nagpur"/>
    <s v="PowerBI"/>
    <n v="36"/>
    <s v="Amar"/>
  </r>
  <r>
    <s v="AMTZ89"/>
    <s v="Customer AS"/>
    <d v="2018-04-24T00:00:00"/>
    <n v="90"/>
    <x v="2"/>
    <s v="Bengaluru"/>
    <s v="Excel"/>
    <n v="31"/>
    <s v="Raman"/>
  </r>
  <r>
    <s v="AMTZ88"/>
    <s v="Customer AS"/>
    <d v="2018-04-25T00:00:00"/>
    <n v="89"/>
    <x v="2"/>
    <s v="New Delhi"/>
    <s v="Power"/>
    <n v="11"/>
    <s v="Rajath"/>
  </r>
  <r>
    <s v="AMTZ87"/>
    <s v="Customer AT"/>
    <d v="2018-04-26T00:00:00"/>
    <n v="88"/>
    <x v="2"/>
    <s v="Kolkata"/>
    <s v="Word"/>
    <n v="20"/>
    <s v="Rajath"/>
  </r>
  <r>
    <s v="AMTZ86"/>
    <s v="Customer AT"/>
    <d v="2018-04-27T00:00:00"/>
    <n v="87"/>
    <x v="2"/>
    <s v="Chennai"/>
    <s v="Outlook"/>
    <n v="29"/>
    <s v="Raman"/>
  </r>
  <r>
    <s v="AMTZ85"/>
    <s v="Customer AU"/>
    <d v="2018-05-04T00:00:00"/>
    <n v="86"/>
    <x v="2"/>
    <s v="Pune"/>
    <s v="VBA"/>
    <n v="15"/>
    <s v="Amar"/>
  </r>
  <r>
    <s v="AMTZ84"/>
    <s v="Customer AU"/>
    <d v="2018-05-08T00:00:00"/>
    <n v="85"/>
    <x v="2"/>
    <s v="Nagpur"/>
    <s v="PowerBI"/>
    <n v="15"/>
    <s v="Amar"/>
  </r>
  <r>
    <s v="AMTZ83"/>
    <s v="Customer AV"/>
    <d v="2018-05-09T00:00:00"/>
    <n v="84"/>
    <x v="2"/>
    <s v="Bengaluru"/>
    <s v="Excel"/>
    <n v="12"/>
    <s v="Raman"/>
  </r>
  <r>
    <s v="AMTZ82"/>
    <s v="Customer AV"/>
    <d v="2018-05-14T00:00:00"/>
    <n v="83"/>
    <x v="2"/>
    <s v="New Delhi"/>
    <s v="Power"/>
    <n v="21"/>
    <s v="Rajath"/>
  </r>
  <r>
    <s v="AMTZ79"/>
    <s v="Customer AX"/>
    <d v="2018-05-15T00:00:00"/>
    <n v="80"/>
    <x v="2"/>
    <s v="Chennai"/>
    <s v="VBA"/>
    <n v="22"/>
    <s v="Raman"/>
  </r>
  <r>
    <s v="AMTZ80"/>
    <s v="Customer AW"/>
    <d v="2018-05-15T00:00:00"/>
    <n v="81"/>
    <x v="2"/>
    <s v="Hyderabad"/>
    <s v="Outlook"/>
    <n v="27"/>
    <s v="Amar"/>
  </r>
  <r>
    <s v="AMTZ81"/>
    <s v="Customer AW"/>
    <d v="2018-05-15T00:00:00"/>
    <n v="82"/>
    <x v="2"/>
    <s v="Kolkata"/>
    <s v="Word"/>
    <n v="11"/>
    <s v="Rajath"/>
  </r>
  <r>
    <s v="AMTZ78"/>
    <s v="Customer AX"/>
    <d v="2018-05-16T00:00:00"/>
    <n v="79"/>
    <x v="2"/>
    <s v="Pune"/>
    <s v="PowerBI"/>
    <n v="13"/>
    <s v="Amar"/>
  </r>
  <r>
    <s v="AMTZ77"/>
    <s v="Customer AY"/>
    <d v="2018-05-17T00:00:00"/>
    <n v="78"/>
    <x v="2"/>
    <s v="Nagpur"/>
    <s v="Excel"/>
    <n v="37"/>
    <s v="Amar"/>
  </r>
  <r>
    <s v="AMTZ76"/>
    <s v="Customer AY"/>
    <d v="2018-05-18T00:00:00"/>
    <n v="77"/>
    <x v="2"/>
    <s v="Bengaluru"/>
    <s v="Power"/>
    <n v="35"/>
    <s v="Raman"/>
  </r>
  <r>
    <s v="AMTZ75"/>
    <s v="Customer AZ"/>
    <d v="2018-05-20T00:00:00"/>
    <n v="76"/>
    <x v="2"/>
    <s v="New Delhi"/>
    <s v="Word"/>
    <n v="21"/>
    <s v="Rajath"/>
  </r>
  <r>
    <s v="AMTZ74"/>
    <s v="Customer AZ"/>
    <d v="2018-05-23T00:00:00"/>
    <n v="75"/>
    <x v="2"/>
    <s v="Kolkata"/>
    <s v="VBA"/>
    <n v="27"/>
    <s v="Rajath"/>
  </r>
  <r>
    <s v="AMTZ73"/>
    <s v="Customer B"/>
    <d v="2018-05-24T00:00:00"/>
    <n v="74"/>
    <x v="2"/>
    <s v="Hyderabad"/>
    <s v="PowerBI"/>
    <n v="9"/>
    <s v="Amar"/>
  </r>
  <r>
    <s v="AMTZ70"/>
    <s v="Customer BA"/>
    <d v="2018-05-25T00:00:00"/>
    <n v="71"/>
    <x v="0"/>
    <s v="Nagpur"/>
    <s v="Word"/>
    <n v="39"/>
    <s v="Amar"/>
  </r>
  <r>
    <s v="AMTZ71"/>
    <s v="Customer BA"/>
    <d v="2018-05-25T00:00:00"/>
    <n v="72"/>
    <x v="0"/>
    <s v="Pune"/>
    <s v="Power"/>
    <n v="15"/>
    <s v="Amar"/>
  </r>
  <r>
    <s v="AMTZ72"/>
    <s v="Customer B"/>
    <d v="2018-05-25T00:00:00"/>
    <n v="73"/>
    <x v="2"/>
    <s v="Chennai"/>
    <s v="Excel"/>
    <n v="28"/>
    <s v="Raman"/>
  </r>
  <r>
    <s v="AMTZ69"/>
    <s v="Customer BB"/>
    <d v="2018-06-01T00:00:00"/>
    <n v="70"/>
    <x v="0"/>
    <s v="Bengaluru"/>
    <s v="Outlook"/>
    <n v="33"/>
    <s v="Raman"/>
  </r>
  <r>
    <s v="AMTZ68"/>
    <s v="Customer BB"/>
    <d v="2018-06-02T00:00:00"/>
    <n v="69"/>
    <x v="0"/>
    <s v="New Delhi"/>
    <s v="VBA"/>
    <n v="19"/>
    <s v="Rajath"/>
  </r>
  <r>
    <s v="AMTZ67"/>
    <s v="Customer BC"/>
    <d v="2018-06-05T00:00:00"/>
    <n v="68"/>
    <x v="0"/>
    <s v="Kolkata"/>
    <s v="PowerBI"/>
    <n v="31"/>
    <s v="Rajath"/>
  </r>
  <r>
    <s v="AMTZ66"/>
    <s v="Customer BC"/>
    <d v="2018-06-10T00:00:00"/>
    <n v="67"/>
    <x v="1"/>
    <s v="Chennai"/>
    <s v="Excel"/>
    <n v="11"/>
    <s v="Raman"/>
  </r>
  <r>
    <s v="AMTZ65"/>
    <s v="Customer BD"/>
    <d v="2018-06-15T00:00:00"/>
    <n v="66"/>
    <x v="1"/>
    <s v="Pune"/>
    <s v="Power"/>
    <n v="37"/>
    <s v="Amar"/>
  </r>
  <r>
    <s v="AMTZ63"/>
    <s v="Customer BE"/>
    <d v="2018-06-17T00:00:00"/>
    <n v="64"/>
    <x v="1"/>
    <s v="Bengaluru"/>
    <s v="PowerBI"/>
    <n v="30"/>
    <s v="Raman"/>
  </r>
  <r>
    <s v="AMTZ64"/>
    <s v="Customer BD"/>
    <d v="2018-06-17T00:00:00"/>
    <n v="65"/>
    <x v="1"/>
    <s v="Nagpur"/>
    <s v="Word"/>
    <n v="31"/>
    <s v="Amar"/>
  </r>
  <r>
    <s v="AMTZ62"/>
    <s v="Customer BE"/>
    <d v="2018-06-18T00:00:00"/>
    <n v="63"/>
    <x v="1"/>
    <s v="New Delhi"/>
    <s v="Excel"/>
    <n v="15"/>
    <s v="Rajath"/>
  </r>
  <r>
    <s v="AMTZ61"/>
    <s v="Customer BF"/>
    <d v="2018-06-22T00:00:00"/>
    <n v="62"/>
    <x v="1"/>
    <s v="Kolkata"/>
    <s v="Power"/>
    <n v="38"/>
    <s v="Rajath"/>
  </r>
  <r>
    <s v="AMTZ59"/>
    <s v="Customer BG"/>
    <d v="2018-07-01T00:00:00"/>
    <n v="60"/>
    <x v="1"/>
    <s v="Chennai"/>
    <s v="Office 365"/>
    <n v="40"/>
    <s v="Raman"/>
  </r>
  <r>
    <s v="AMTZ60"/>
    <s v="Customer BF"/>
    <d v="2018-07-01T00:00:00"/>
    <n v="61"/>
    <x v="1"/>
    <s v="Hyderabad"/>
    <s v="Word"/>
    <n v="17"/>
    <s v="Amar"/>
  </r>
  <r>
    <s v="AMTZ58"/>
    <s v="Customer BG"/>
    <d v="2018-07-04T00:00:00"/>
    <n v="59"/>
    <x v="1"/>
    <s v="Pune"/>
    <s v="Outlook"/>
    <n v="25"/>
    <s v="Amar"/>
  </r>
  <r>
    <s v="AMTZ56"/>
    <s v="Customer BH"/>
    <d v="2018-07-12T00:00:00"/>
    <n v="57"/>
    <x v="1"/>
    <s v="Bengaluru"/>
    <s v="PowerBI"/>
    <n v="30"/>
    <s v="Raman"/>
  </r>
  <r>
    <s v="AMTZ57"/>
    <s v="Customer BH"/>
    <d v="2018-07-12T00:00:00"/>
    <n v="58"/>
    <x v="1"/>
    <s v="Nagpur"/>
    <s v="VBA"/>
    <n v="24"/>
    <s v="Amar"/>
  </r>
  <r>
    <s v="AMTZ55"/>
    <s v="Customer BI"/>
    <d v="2018-07-14T00:00:00"/>
    <n v="56"/>
    <x v="1"/>
    <s v="New Delhi"/>
    <s v="Excel"/>
    <n v="39"/>
    <s v="Rajath"/>
  </r>
  <r>
    <s v="AMTZ54"/>
    <s v="Customer BI"/>
    <d v="2018-07-17T00:00:00"/>
    <n v="55"/>
    <x v="1"/>
    <s v="Kolkata"/>
    <s v="Power"/>
    <n v="39"/>
    <s v="Rajath"/>
  </r>
  <r>
    <s v="AMTZ53"/>
    <s v="Customer BJ"/>
    <d v="2018-07-20T00:00:00"/>
    <n v="54"/>
    <x v="1"/>
    <s v="Hyderabad"/>
    <s v="Word"/>
    <n v="32"/>
    <s v="Amar"/>
  </r>
  <r>
    <s v="AMTZ52"/>
    <s v="Customer BJ"/>
    <d v="2018-07-24T00:00:00"/>
    <n v="53"/>
    <x v="1"/>
    <s v="Chennai"/>
    <s v="Office 365"/>
    <n v="12"/>
    <s v="Raman"/>
  </r>
  <r>
    <s v="AMTZ50"/>
    <s v="Customer BK"/>
    <d v="2018-07-26T00:00:00"/>
    <n v="51"/>
    <x v="1"/>
    <s v="Nagpur"/>
    <s v="VBA"/>
    <n v="38"/>
    <s v="Amar"/>
  </r>
  <r>
    <s v="AMTZ51"/>
    <s v="Customer BK"/>
    <d v="2018-07-26T00:00:00"/>
    <n v="52"/>
    <x v="1"/>
    <s v="Pune"/>
    <s v="Outlook"/>
    <n v="18"/>
    <s v="Amar"/>
  </r>
  <r>
    <s v="AMTZ49"/>
    <s v="Customer BL"/>
    <d v="2018-07-27T00:00:00"/>
    <n v="50"/>
    <x v="1"/>
    <s v="Bengaluru"/>
    <s v="PowerBI"/>
    <n v="36"/>
    <s v="Raman"/>
  </r>
  <r>
    <s v="AMTZ48"/>
    <s v="Customer BL"/>
    <d v="2018-07-28T00:00:00"/>
    <n v="49"/>
    <x v="1"/>
    <s v="New Delhi"/>
    <s v="Excel"/>
    <n v="25"/>
    <s v="Rajath"/>
  </r>
  <r>
    <s v="AMTZ47"/>
    <s v="Customer C"/>
    <d v="2018-07-29T00:00:00"/>
    <n v="48"/>
    <x v="0"/>
    <s v="Kolkata"/>
    <s v="Power"/>
    <n v="20"/>
    <s v="Rajath"/>
  </r>
  <r>
    <s v="AMTZ46"/>
    <s v="Customer C"/>
    <d v="2018-08-04T00:00:00"/>
    <n v="47"/>
    <x v="0"/>
    <s v="Chennai"/>
    <s v="Word"/>
    <n v="18"/>
    <s v="Raman"/>
  </r>
  <r>
    <s v="AMTZ45"/>
    <s v="Customer D"/>
    <d v="2018-08-14T00:00:00"/>
    <n v="46"/>
    <x v="0"/>
    <s v="Pune"/>
    <s v="PowerBI"/>
    <n v="23"/>
    <s v="Amar"/>
  </r>
  <r>
    <s v="AMTZ44"/>
    <s v="Customer D"/>
    <d v="2018-08-19T00:00:00"/>
    <n v="45"/>
    <x v="0"/>
    <s v="Nagpur"/>
    <s v="Excel"/>
    <n v="14"/>
    <s v="Amar"/>
  </r>
  <r>
    <s v="AMTZ43"/>
    <s v="Customer E"/>
    <d v="2018-08-24T00:00:00"/>
    <n v="44"/>
    <x v="0"/>
    <s v="Bengaluru"/>
    <s v="Power"/>
    <n v="19"/>
    <s v="Raman"/>
  </r>
  <r>
    <s v="AMTZ42"/>
    <s v="Customer E"/>
    <d v="2018-09-11T00:00:00"/>
    <n v="43"/>
    <x v="0"/>
    <s v="New Delhi"/>
    <s v="Word"/>
    <n v="32"/>
    <s v="Rajath"/>
  </r>
  <r>
    <s v="AMTZ41"/>
    <s v="Customer F"/>
    <d v="2018-09-13T00:00:00"/>
    <n v="42"/>
    <x v="0"/>
    <s v="Kolkata"/>
    <s v="Office 365"/>
    <n v="27"/>
    <s v="Rajath"/>
  </r>
  <r>
    <s v="AMTZ40"/>
    <s v="Customer F"/>
    <d v="2018-09-14T00:00:00"/>
    <n v="41"/>
    <x v="0"/>
    <s v="Hyderabad"/>
    <s v="Outlook"/>
    <n v="20"/>
    <s v="Amar"/>
  </r>
  <r>
    <s v="AMTZ39"/>
    <s v="Customer G"/>
    <d v="2018-09-15T00:00:00"/>
    <n v="40"/>
    <x v="0"/>
    <s v="Chennai"/>
    <s v="VBA"/>
    <n v="28"/>
    <s v="Raman"/>
  </r>
  <r>
    <s v="AMTZ38"/>
    <s v="Customer G"/>
    <d v="2018-09-21T00:00:00"/>
    <n v="39"/>
    <x v="0"/>
    <s v="Pune"/>
    <s v="PowerBI"/>
    <n v="16"/>
    <s v="Amar"/>
  </r>
  <r>
    <s v="AMTZ36"/>
    <s v="Customer H"/>
    <d v="2018-09-22T00:00:00"/>
    <n v="37"/>
    <x v="0"/>
    <s v="Bengaluru"/>
    <s v="Power"/>
    <n v="23"/>
    <s v="Raman"/>
  </r>
  <r>
    <s v="AMTZ37"/>
    <s v="Customer H"/>
    <d v="2018-09-22T00:00:00"/>
    <n v="38"/>
    <x v="0"/>
    <s v="Nagpur"/>
    <s v="Excel"/>
    <n v="34"/>
    <s v="Amar"/>
  </r>
  <r>
    <s v="AMTZ34"/>
    <s v="Customer I"/>
    <d v="2018-09-27T00:00:00"/>
    <n v="35"/>
    <x v="0"/>
    <s v="Kolkata"/>
    <s v="Office 365"/>
    <n v="24"/>
    <s v="Rajath"/>
  </r>
  <r>
    <s v="AMTZ35"/>
    <s v="Customer I"/>
    <d v="2018-09-27T00:00:00"/>
    <n v="36"/>
    <x v="0"/>
    <s v="New Delhi"/>
    <s v="Word"/>
    <n v="37"/>
    <s v="Rajath"/>
  </r>
  <r>
    <s v="AMTZ33"/>
    <s v="Customer J"/>
    <d v="2018-09-29T00:00:00"/>
    <n v="34"/>
    <x v="0"/>
    <s v="Hyderabad"/>
    <s v="Outlook"/>
    <n v="32"/>
    <s v="Amar"/>
  </r>
  <r>
    <s v="AMTZ32"/>
    <s v="Customer J"/>
    <d v="2018-10-03T00:00:00"/>
    <n v="33"/>
    <x v="0"/>
    <s v="Chennai"/>
    <s v="VBA"/>
    <n v="19"/>
    <s v="Raman"/>
  </r>
  <r>
    <s v="AMTZ30"/>
    <s v="Customer K"/>
    <d v="2018-10-05T00:00:00"/>
    <n v="31"/>
    <x v="2"/>
    <s v="Nagpur"/>
    <s v="Excel"/>
    <n v="35"/>
    <s v="Amar"/>
  </r>
  <r>
    <s v="AMTZ31"/>
    <s v="Customer K"/>
    <d v="2018-10-05T00:00:00"/>
    <n v="32"/>
    <x v="0"/>
    <s v="Pune"/>
    <s v="PowerBI"/>
    <n v="39"/>
    <s v="Amar"/>
  </r>
  <r>
    <s v="AMTZ29"/>
    <s v="Customer L"/>
    <d v="2018-10-06T00:00:00"/>
    <n v="30"/>
    <x v="2"/>
    <s v="Bengaluru"/>
    <s v="Power"/>
    <n v="21"/>
    <s v="Raman"/>
  </r>
  <r>
    <s v="AMTZ28"/>
    <s v="Customer L"/>
    <d v="2018-10-16T00:00:00"/>
    <n v="29"/>
    <x v="2"/>
    <s v="New Delhi"/>
    <s v="Word"/>
    <n v="32"/>
    <s v="Rajath"/>
  </r>
  <r>
    <s v="AMTZ27"/>
    <s v="Customer M"/>
    <d v="2018-10-18T00:00:00"/>
    <n v="28"/>
    <x v="2"/>
    <s v="Kolkata"/>
    <s v="Office 365"/>
    <n v="10"/>
    <s v="Rajath"/>
  </r>
  <r>
    <s v="AMTZ26"/>
    <s v="Customer M"/>
    <d v="2018-10-19T00:00:00"/>
    <n v="27"/>
    <x v="2"/>
    <s v="Chennai"/>
    <s v="Outlook"/>
    <n v="27"/>
    <s v="Raman"/>
  </r>
  <r>
    <s v="AMTZ24"/>
    <s v="Customer N"/>
    <d v="2018-10-20T00:00:00"/>
    <n v="25"/>
    <x v="2"/>
    <s v="Nagpur"/>
    <s v="PowerBI"/>
    <n v="40"/>
    <s v="Amar"/>
  </r>
  <r>
    <s v="AMTZ25"/>
    <s v="Customer N"/>
    <d v="2018-10-20T00:00:00"/>
    <n v="26"/>
    <x v="2"/>
    <s v="Pune"/>
    <s v="VBA"/>
    <n v="14"/>
    <s v="Amar"/>
  </r>
  <r>
    <s v="AMTZ23"/>
    <s v="Customer O"/>
    <d v="2018-10-24T00:00:00"/>
    <n v="24"/>
    <x v="2"/>
    <s v="Bengaluru"/>
    <s v="Excel"/>
    <n v="34"/>
    <s v="Raman"/>
  </r>
  <r>
    <s v="AMTZ22"/>
    <s v="Customer O"/>
    <d v="2018-10-25T00:00:00"/>
    <n v="23"/>
    <x v="2"/>
    <s v="New Delhi"/>
    <s v="Power"/>
    <n v="15"/>
    <s v="Rajath"/>
  </r>
  <r>
    <s v="AMTZ21"/>
    <s v="Customer P"/>
    <d v="2018-10-26T00:00:00"/>
    <n v="22"/>
    <x v="2"/>
    <s v="Kolkata"/>
    <s v="Word"/>
    <n v="28"/>
    <s v="Rajath"/>
  </r>
  <r>
    <s v="AMTZ20"/>
    <s v="Customer P"/>
    <d v="2018-10-28T00:00:00"/>
    <n v="21"/>
    <x v="2"/>
    <s v="Hyderabad"/>
    <s v="Office 365"/>
    <n v="36"/>
    <s v="Amar"/>
  </r>
  <r>
    <s v="AMTZ18"/>
    <s v="Customer Q"/>
    <d v="2018-10-29T00:00:00"/>
    <n v="19"/>
    <x v="2"/>
    <s v="Pune"/>
    <s v="VBA"/>
    <n v="39"/>
    <s v="Amar"/>
  </r>
  <r>
    <s v="AMTZ19"/>
    <s v="Customer Q"/>
    <d v="2018-10-29T00:00:00"/>
    <n v="20"/>
    <x v="2"/>
    <s v="Chennai"/>
    <s v="Outlook"/>
    <n v="25"/>
    <s v="Raman"/>
  </r>
  <r>
    <s v="AMTZ17"/>
    <s v="Customer Q"/>
    <d v="2018-11-01T00:00:00"/>
    <n v="18"/>
    <x v="1"/>
    <s v="Nagpur"/>
    <s v="PowerBI"/>
    <n v="38"/>
    <s v="Amar"/>
  </r>
  <r>
    <s v="AMTZ16"/>
    <s v="Customer R"/>
    <d v="2018-11-02T00:00:00"/>
    <n v="17"/>
    <x v="1"/>
    <s v="Bengaluru"/>
    <s v="Excel"/>
    <n v="23"/>
    <s v="Raman"/>
  </r>
  <r>
    <s v="AMTZ15"/>
    <s v="Customer R"/>
    <d v="2018-11-10T00:00:00"/>
    <n v="16"/>
    <x v="1"/>
    <s v="New Delhi"/>
    <s v="Power"/>
    <n v="34"/>
    <s v="Rajath"/>
  </r>
  <r>
    <s v="AMTZ14"/>
    <s v="Customer S"/>
    <d v="2018-11-13T00:00:00"/>
    <n v="15"/>
    <x v="1"/>
    <s v="Kolkata"/>
    <s v="Word"/>
    <n v="32"/>
    <s v="Rajath"/>
  </r>
  <r>
    <s v="AMTZ13"/>
    <s v="Customer S"/>
    <d v="2018-11-16T00:00:00"/>
    <n v="14"/>
    <x v="1"/>
    <s v="Hyderabad"/>
    <s v="Office 365"/>
    <n v="33"/>
    <s v="Amar"/>
  </r>
  <r>
    <s v="AMTZ12"/>
    <s v="Customer T"/>
    <d v="2018-11-19T00:00:00"/>
    <n v="13"/>
    <x v="1"/>
    <s v="Chennai"/>
    <s v="Outlook"/>
    <n v="11"/>
    <s v="Raman"/>
  </r>
  <r>
    <s v="AMTZ11"/>
    <s v="Customer T"/>
    <d v="2018-11-20T00:00:00"/>
    <n v="12"/>
    <x v="1"/>
    <s v="Pune"/>
    <s v="VBA"/>
    <n v="17"/>
    <s v="Amar"/>
  </r>
  <r>
    <s v="AMTZ10"/>
    <s v="Customer U"/>
    <d v="2018-11-28T00:00:00"/>
    <n v="11"/>
    <x v="1"/>
    <s v="Nagpur"/>
    <s v="PowerBI"/>
    <n v="24"/>
    <s v="Amar"/>
  </r>
  <r>
    <s v="AMTZ147"/>
    <s v="Customer U"/>
    <d v="2018-11-28T00:00:00"/>
    <n v="150"/>
    <x v="1"/>
    <s v="Nagpur"/>
    <s v="PowerBI"/>
    <n v="24"/>
    <s v="Amar"/>
  </r>
  <r>
    <s v="AMTZ163"/>
    <s v="Customer U"/>
    <d v="2018-11-28T00:00:00"/>
    <n v="165"/>
    <x v="1"/>
    <s v="Nagpur"/>
    <s v="PowerBI"/>
    <n v="24"/>
    <s v="Amar"/>
  </r>
  <r>
    <s v="AMTZ178"/>
    <s v="Customer U"/>
    <d v="2018-11-28T00:00:00"/>
    <n v="180"/>
    <x v="1"/>
    <s v="Nagpur"/>
    <s v="PowerBI"/>
    <n v="24"/>
    <s v="Amar"/>
  </r>
  <r>
    <s v="AMTZ193"/>
    <s v="Customer U"/>
    <d v="2018-11-28T00:00:00"/>
    <n v="195"/>
    <x v="1"/>
    <s v="Nagpur"/>
    <s v="PowerBI"/>
    <n v="24"/>
    <s v="Amar"/>
  </r>
  <r>
    <s v="AMTZ208"/>
    <s v="Customer U"/>
    <d v="2018-11-28T00:00:00"/>
    <n v="210"/>
    <x v="1"/>
    <s v="Nagpur"/>
    <s v="PowerBI"/>
    <n v="24"/>
    <s v="Amar"/>
  </r>
  <r>
    <s v="AMTZ223"/>
    <s v="Customer U"/>
    <d v="2018-11-28T00:00:00"/>
    <n v="225"/>
    <x v="1"/>
    <s v="Nagpur"/>
    <s v="PowerBI"/>
    <n v="24"/>
    <s v="Amar"/>
  </r>
  <r>
    <s v="AMTZ9"/>
    <s v="Customer U"/>
    <d v="2018-11-29T00:00:00"/>
    <n v="10"/>
    <x v="1"/>
    <s v="Bengaluru"/>
    <s v="Excel"/>
    <n v="24"/>
    <s v="Raman"/>
  </r>
  <r>
    <s v="AMTZ146"/>
    <s v="Customer U"/>
    <d v="2018-11-29T00:00:00"/>
    <n v="149"/>
    <x v="1"/>
    <s v="Bengaluru"/>
    <s v="Excel"/>
    <n v="24"/>
    <s v="Raman"/>
  </r>
  <r>
    <s v="AMTZ162"/>
    <s v="Customer U"/>
    <d v="2018-11-29T00:00:00"/>
    <n v="164"/>
    <x v="1"/>
    <s v="Bengaluru"/>
    <s v="Excel"/>
    <n v="24"/>
    <s v="Raman"/>
  </r>
  <r>
    <s v="AMTZ177"/>
    <s v="Customer U"/>
    <d v="2018-11-29T00:00:00"/>
    <n v="179"/>
    <x v="1"/>
    <s v="Bengaluru"/>
    <s v="Excel"/>
    <n v="24"/>
    <s v="Raman"/>
  </r>
  <r>
    <s v="AMTZ192"/>
    <s v="Customer U"/>
    <d v="2018-11-29T00:00:00"/>
    <n v="194"/>
    <x v="1"/>
    <s v="Bengaluru"/>
    <s v="Excel"/>
    <n v="24"/>
    <s v="Raman"/>
  </r>
  <r>
    <s v="AMTZ207"/>
    <s v="Customer U"/>
    <d v="2018-11-29T00:00:00"/>
    <n v="209"/>
    <x v="1"/>
    <s v="Bengaluru"/>
    <s v="Excel"/>
    <n v="24"/>
    <s v="Raman"/>
  </r>
  <r>
    <s v="AMTZ222"/>
    <s v="Customer U"/>
    <d v="2018-11-29T00:00:00"/>
    <n v="224"/>
    <x v="1"/>
    <s v="Bengaluru"/>
    <s v="Excel"/>
    <n v="24"/>
    <s v="Raman"/>
  </r>
  <r>
    <s v="AMTZ231"/>
    <s v="Customer Z"/>
    <d v="2018-11-30T00:00:00"/>
    <n v="233"/>
    <x v="1"/>
    <s v="New Delhi"/>
    <s v="Power"/>
    <n v="30"/>
    <s v="Rajath"/>
  </r>
  <r>
    <s v="AMTZ8"/>
    <s v="Customer V"/>
    <d v="2018-11-30T00:00:00"/>
    <n v="9"/>
    <x v="1"/>
    <s v="New Delhi"/>
    <s v="Power"/>
    <n v="30"/>
    <s v="Rajath"/>
  </r>
  <r>
    <s v="AMTZ145"/>
    <s v="Customer V"/>
    <d v="2018-11-30T00:00:00"/>
    <n v="148"/>
    <x v="1"/>
    <s v="New Delhi"/>
    <s v="Power"/>
    <n v="30"/>
    <s v="Rajath"/>
  </r>
  <r>
    <s v="AMTZ148"/>
    <s v="Customer Z"/>
    <d v="2018-11-30T00:00:00"/>
    <n v="151"/>
    <x v="1"/>
    <s v="New Delhi"/>
    <s v="Power"/>
    <n v="30"/>
    <s v="Rajath"/>
  </r>
  <r>
    <s v="AMTZ149"/>
    <s v="Customer Y"/>
    <d v="2018-11-30T00:00:00"/>
    <n v="152"/>
    <x v="1"/>
    <s v="New Delhi"/>
    <s v="Power"/>
    <n v="30"/>
    <s v="Rajath"/>
  </r>
  <r>
    <s v="AMTZ150"/>
    <s v="Customer Y"/>
    <d v="2018-11-30T00:00:00"/>
    <n v="153"/>
    <x v="1"/>
    <s v="New Delhi"/>
    <s v="Power"/>
    <n v="30"/>
    <s v="Rajath"/>
  </r>
  <r>
    <s v="AMTZ151"/>
    <s v="Customer X"/>
    <d v="2018-11-30T00:00:00"/>
    <n v="154"/>
    <x v="1"/>
    <s v="New Delhi"/>
    <s v="Power"/>
    <n v="30"/>
    <s v="Rajath"/>
  </r>
  <r>
    <s v="AMTZ152"/>
    <s v="Customer X"/>
    <d v="2018-11-30T00:00:00"/>
    <n v="155"/>
    <x v="1"/>
    <s v="New Delhi"/>
    <s v="Power"/>
    <n v="30"/>
    <s v="Rajath"/>
  </r>
  <r>
    <s v="AMTZ153"/>
    <s v="Customer W"/>
    <d v="2018-11-30T00:00:00"/>
    <n v="156"/>
    <x v="1"/>
    <s v="New Delhi"/>
    <s v="Power"/>
    <n v="30"/>
    <s v="Rajath"/>
  </r>
  <r>
    <s v="AMTZ154"/>
    <s v="Customer W"/>
    <d v="2018-11-30T00:00:00"/>
    <n v="157"/>
    <x v="1"/>
    <s v="New Delhi"/>
    <s v="Power"/>
    <n v="30"/>
    <s v="Rajath"/>
  </r>
  <r>
    <s v="AMTZ155"/>
    <s v="Customer Z"/>
    <d v="2018-11-30T00:00:00"/>
    <n v="158"/>
    <x v="1"/>
    <s v="New Delhi"/>
    <s v="Power"/>
    <n v="30"/>
    <s v="Rajath"/>
  </r>
  <r>
    <s v="AMTZ156"/>
    <s v="Vijay Perepa"/>
    <d v="2018-11-30T00:00:00"/>
    <n v="158"/>
    <x v="1"/>
    <s v="New Delhi"/>
    <s v="Power"/>
    <n v="26"/>
    <s v="Rajath"/>
  </r>
  <r>
    <s v="AMTZ161"/>
    <s v="Customer V"/>
    <d v="2018-11-30T00:00:00"/>
    <n v="163"/>
    <x v="1"/>
    <s v="New Delhi"/>
    <s v="Power"/>
    <n v="30"/>
    <s v="Rajath"/>
  </r>
  <r>
    <s v="AMTZ164"/>
    <s v="Customer Z"/>
    <d v="2018-11-30T00:00:00"/>
    <n v="166"/>
    <x v="1"/>
    <s v="New Delhi"/>
    <s v="Power"/>
    <n v="30"/>
    <s v="Rajath"/>
  </r>
  <r>
    <s v="AMTZ165"/>
    <s v="Customer Y"/>
    <d v="2018-11-30T00:00:00"/>
    <n v="167"/>
    <x v="1"/>
    <s v="New Delhi"/>
    <s v="Power"/>
    <n v="30"/>
    <s v="Rajath"/>
  </r>
  <r>
    <s v="AMTZ166"/>
    <s v="Customer Y"/>
    <d v="2018-11-30T00:00:00"/>
    <n v="168"/>
    <x v="1"/>
    <s v="New Delhi"/>
    <s v="Power"/>
    <n v="30"/>
    <s v="Rajath"/>
  </r>
  <r>
    <s v="AMTZ167"/>
    <s v="Customer X"/>
    <d v="2018-11-30T00:00:00"/>
    <n v="169"/>
    <x v="1"/>
    <s v="New Delhi"/>
    <s v="Power"/>
    <n v="30"/>
    <s v="Rajath"/>
  </r>
  <r>
    <s v="AMTZ168"/>
    <s v="Customer X"/>
    <d v="2018-11-30T00:00:00"/>
    <n v="170"/>
    <x v="1"/>
    <s v="New Delhi"/>
    <s v="Power"/>
    <n v="30"/>
    <s v="Rajath"/>
  </r>
  <r>
    <s v="AMTZ169"/>
    <s v="Customer W"/>
    <d v="2018-11-30T00:00:00"/>
    <n v="171"/>
    <x v="1"/>
    <s v="New Delhi"/>
    <s v="Power"/>
    <n v="30"/>
    <s v="Rajath"/>
  </r>
  <r>
    <s v="AMTZ170"/>
    <s v="Customer W"/>
    <d v="2018-11-30T00:00:00"/>
    <n v="172"/>
    <x v="1"/>
    <s v="New Delhi"/>
    <s v="Power"/>
    <n v="30"/>
    <s v="Rajath"/>
  </r>
  <r>
    <s v="AMTZ171"/>
    <s v="Customer Z"/>
    <d v="2018-11-30T00:00:00"/>
    <n v="173"/>
    <x v="1"/>
    <s v="New Delhi"/>
    <s v="Power"/>
    <n v="30"/>
    <s v="Rajath"/>
  </r>
  <r>
    <s v="AMTZ176"/>
    <s v="Customer V"/>
    <d v="2018-11-30T00:00:00"/>
    <n v="178"/>
    <x v="1"/>
    <s v="New Delhi"/>
    <s v="Power"/>
    <n v="30"/>
    <s v="Rajath"/>
  </r>
  <r>
    <s v="AMTZ179"/>
    <s v="Customer Z"/>
    <d v="2018-11-30T00:00:00"/>
    <n v="181"/>
    <x v="1"/>
    <s v="New Delhi"/>
    <s v="Power"/>
    <n v="30"/>
    <s v="Rajath"/>
  </r>
  <r>
    <s v="AMTZ180"/>
    <s v="Customer Y"/>
    <d v="2018-11-30T00:00:00"/>
    <n v="182"/>
    <x v="1"/>
    <s v="New Delhi"/>
    <s v="Power"/>
    <n v="30"/>
    <s v="Rajath"/>
  </r>
  <r>
    <s v="AMTZ181"/>
    <s v="Customer Y"/>
    <d v="2018-11-30T00:00:00"/>
    <n v="183"/>
    <x v="1"/>
    <s v="New Delhi"/>
    <s v="Power"/>
    <n v="30"/>
    <s v="Rajath"/>
  </r>
  <r>
    <s v="AMTZ182"/>
    <s v="Customer X"/>
    <d v="2018-11-30T00:00:00"/>
    <n v="184"/>
    <x v="1"/>
    <s v="New Delhi"/>
    <s v="Power"/>
    <n v="30"/>
    <s v="Rajath"/>
  </r>
  <r>
    <s v="AMTZ183"/>
    <s v="Customer X"/>
    <d v="2018-11-30T00:00:00"/>
    <n v="185"/>
    <x v="1"/>
    <s v="New Delhi"/>
    <s v="Power"/>
    <n v="30"/>
    <s v="Rajath"/>
  </r>
  <r>
    <s v="AMTZ184"/>
    <s v="Customer W"/>
    <d v="2018-11-30T00:00:00"/>
    <n v="186"/>
    <x v="1"/>
    <s v="New Delhi"/>
    <s v="Power"/>
    <n v="30"/>
    <s v="Rajath"/>
  </r>
  <r>
    <s v="AMTZ185"/>
    <s v="Customer W"/>
    <d v="2018-11-30T00:00:00"/>
    <n v="187"/>
    <x v="1"/>
    <s v="New Delhi"/>
    <s v="Power"/>
    <n v="30"/>
    <s v="Rajath"/>
  </r>
  <r>
    <s v="AMTZ186"/>
    <s v="Customer Z"/>
    <d v="2018-11-30T00:00:00"/>
    <n v="188"/>
    <x v="1"/>
    <s v="New Delhi"/>
    <s v="Power"/>
    <n v="30"/>
    <s v="Rajath"/>
  </r>
  <r>
    <s v="AMTZ191"/>
    <s v="Customer V"/>
    <d v="2018-11-30T00:00:00"/>
    <n v="193"/>
    <x v="1"/>
    <s v="New Delhi"/>
    <s v="Power"/>
    <n v="30"/>
    <s v="Rajath"/>
  </r>
  <r>
    <s v="AMTZ194"/>
    <s v="Customer Z"/>
    <d v="2018-11-30T00:00:00"/>
    <n v="196"/>
    <x v="1"/>
    <s v="New Delhi"/>
    <s v="Power"/>
    <n v="30"/>
    <s v="Rajath"/>
  </r>
  <r>
    <s v="AMTZ195"/>
    <s v="Customer Y"/>
    <d v="2018-11-30T00:00:00"/>
    <n v="197"/>
    <x v="1"/>
    <s v="New Delhi"/>
    <s v="Power"/>
    <n v="30"/>
    <s v="Rajath"/>
  </r>
  <r>
    <s v="AMTZ196"/>
    <s v="Customer Y"/>
    <d v="2018-11-30T00:00:00"/>
    <n v="198"/>
    <x v="1"/>
    <s v="New Delhi"/>
    <s v="Power"/>
    <n v="30"/>
    <s v="Rajath"/>
  </r>
  <r>
    <s v="AMTZ197"/>
    <s v="Customer X"/>
    <d v="2018-11-30T00:00:00"/>
    <n v="199"/>
    <x v="1"/>
    <s v="New Delhi"/>
    <s v="Power"/>
    <n v="30"/>
    <s v="Rajath"/>
  </r>
  <r>
    <s v="AMTZ198"/>
    <s v="Customer X"/>
    <d v="2018-11-30T00:00:00"/>
    <n v="200"/>
    <x v="1"/>
    <s v="New Delhi"/>
    <s v="Power"/>
    <n v="30"/>
    <s v="Rajath"/>
  </r>
  <r>
    <s v="AMTZ199"/>
    <s v="Customer W"/>
    <d v="2018-11-30T00:00:00"/>
    <n v="201"/>
    <x v="1"/>
    <s v="New Delhi"/>
    <s v="Power"/>
    <n v="30"/>
    <s v="Rajath"/>
  </r>
  <r>
    <s v="AMTZ200"/>
    <s v="Customer W"/>
    <d v="2018-11-30T00:00:00"/>
    <n v="202"/>
    <x v="1"/>
    <s v="New Delhi"/>
    <s v="Power"/>
    <n v="30"/>
    <s v="Rajath"/>
  </r>
  <r>
    <s v="AMTZ201"/>
    <s v="Customer Z"/>
    <d v="2018-11-30T00:00:00"/>
    <n v="203"/>
    <x v="1"/>
    <s v="New Delhi"/>
    <s v="Power"/>
    <n v="30"/>
    <s v="Rajath"/>
  </r>
  <r>
    <s v="AMTZ206"/>
    <s v="Customer V"/>
    <d v="2018-11-30T00:00:00"/>
    <n v="208"/>
    <x v="1"/>
    <s v="New Delhi"/>
    <s v="Power"/>
    <n v="30"/>
    <s v="Rajath"/>
  </r>
  <r>
    <s v="AMTZ209"/>
    <s v="Customer Z"/>
    <d v="2018-11-30T00:00:00"/>
    <n v="211"/>
    <x v="1"/>
    <s v="New Delhi"/>
    <s v="Power"/>
    <n v="30"/>
    <s v="Rajath"/>
  </r>
  <r>
    <s v="AMTZ210"/>
    <s v="Customer Y"/>
    <d v="2018-11-30T00:00:00"/>
    <n v="212"/>
    <x v="1"/>
    <s v="New Delhi"/>
    <s v="Power"/>
    <n v="30"/>
    <s v="Rajath"/>
  </r>
  <r>
    <s v="AMTZ211"/>
    <s v="Customer Y"/>
    <d v="2018-11-30T00:00:00"/>
    <n v="213"/>
    <x v="1"/>
    <s v="New Delhi"/>
    <s v="Power"/>
    <n v="30"/>
    <s v="Rajath"/>
  </r>
  <r>
    <s v="AMTZ212"/>
    <s v="Customer X"/>
    <d v="2018-11-30T00:00:00"/>
    <n v="214"/>
    <x v="1"/>
    <s v="New Delhi"/>
    <s v="Power"/>
    <n v="30"/>
    <s v="Rajath"/>
  </r>
  <r>
    <s v="AMTZ213"/>
    <s v="Customer X"/>
    <d v="2018-11-30T00:00:00"/>
    <n v="215"/>
    <x v="1"/>
    <s v="New Delhi"/>
    <s v="Power"/>
    <n v="30"/>
    <s v="Rajath"/>
  </r>
  <r>
    <s v="AMTZ214"/>
    <s v="Customer W"/>
    <d v="2018-11-30T00:00:00"/>
    <n v="216"/>
    <x v="1"/>
    <s v="New Delhi"/>
    <s v="Power"/>
    <n v="30"/>
    <s v="Rajath"/>
  </r>
  <r>
    <s v="AMTZ215"/>
    <s v="Customer W"/>
    <d v="2018-11-30T00:00:00"/>
    <n v="217"/>
    <x v="1"/>
    <s v="New Delhi"/>
    <s v="Power"/>
    <n v="30"/>
    <s v="Rajath"/>
  </r>
  <r>
    <s v="AMTZ216"/>
    <s v="Customer Z"/>
    <d v="2018-11-30T00:00:00"/>
    <n v="218"/>
    <x v="1"/>
    <s v="New Delhi"/>
    <s v="Power"/>
    <n v="30"/>
    <s v="Rajath"/>
  </r>
  <r>
    <s v="AMTZ221"/>
    <s v="Customer V"/>
    <d v="2018-11-30T00:00:00"/>
    <n v="223"/>
    <x v="1"/>
    <s v="New Delhi"/>
    <s v="Power"/>
    <n v="30"/>
    <s v="Rajath"/>
  </r>
  <r>
    <s v="AMTZ224"/>
    <s v="Customer Z"/>
    <d v="2018-11-30T00:00:00"/>
    <n v="226"/>
    <x v="1"/>
    <s v="New Delhi"/>
    <s v="Power"/>
    <n v="30"/>
    <s v="Rajath"/>
  </r>
  <r>
    <s v="AMTZ225"/>
    <s v="Customer Y"/>
    <d v="2018-11-30T00:00:00"/>
    <n v="227"/>
    <x v="1"/>
    <s v="New Delhi"/>
    <s v="Power"/>
    <n v="30"/>
    <s v="Rajath"/>
  </r>
  <r>
    <s v="AMTZ226"/>
    <s v="Customer Y"/>
    <d v="2018-11-30T00:00:00"/>
    <n v="228"/>
    <x v="1"/>
    <s v="New Delhi"/>
    <s v="Power"/>
    <n v="30"/>
    <s v="Rajath"/>
  </r>
  <r>
    <s v="AMTZ227"/>
    <s v="Customer X"/>
    <d v="2018-11-30T00:00:00"/>
    <n v="229"/>
    <x v="1"/>
    <s v="New Delhi"/>
    <s v="Power"/>
    <n v="30"/>
    <s v="Rajath"/>
  </r>
  <r>
    <s v="AMTZ228"/>
    <s v="Customer X"/>
    <d v="2018-11-30T00:00:00"/>
    <n v="230"/>
    <x v="1"/>
    <s v="New Delhi"/>
    <s v="Power"/>
    <n v="30"/>
    <s v="Rajath"/>
  </r>
  <r>
    <s v="AMTZ229"/>
    <s v="Customer W"/>
    <d v="2018-11-30T00:00:00"/>
    <n v="231"/>
    <x v="1"/>
    <s v="New Delhi"/>
    <s v="Power"/>
    <n v="30"/>
    <s v="Rajath"/>
  </r>
  <r>
    <s v="AMTZ230"/>
    <s v="Customer W"/>
    <d v="2018-11-30T00:00:00"/>
    <n v="232"/>
    <x v="1"/>
    <s v="New Delhi"/>
    <s v="Power"/>
    <n v="30"/>
    <s v="Rajath"/>
  </r>
  <r>
    <s v="AMTZ231"/>
    <s v="Customer Z"/>
    <d v="2018-11-30T00:00:00"/>
    <n v="233"/>
    <x v="1"/>
    <s v="New Delhi"/>
    <s v="Power"/>
    <n v="30"/>
    <s v="Rajath"/>
  </r>
  <r>
    <s v="AMTZ7"/>
    <s v="Customer V"/>
    <d v="2018-12-02T00:00:00"/>
    <n v="8"/>
    <x v="1"/>
    <s v="Kolkata"/>
    <s v="Word"/>
    <n v="18"/>
    <s v="Rajath"/>
  </r>
  <r>
    <s v="AMTZ144"/>
    <s v="Customer V"/>
    <d v="2018-12-02T00:00:00"/>
    <n v="147"/>
    <x v="1"/>
    <s v="Kolkata"/>
    <s v="Word"/>
    <n v="18"/>
    <s v="Rajath"/>
  </r>
  <r>
    <s v="AMTZ160"/>
    <s v="Customer V"/>
    <d v="2018-12-02T00:00:00"/>
    <n v="162"/>
    <x v="1"/>
    <s v="Kolkata"/>
    <s v="Word"/>
    <n v="18"/>
    <s v="Rajath"/>
  </r>
  <r>
    <s v="AMTZ175"/>
    <s v="Customer V"/>
    <d v="2018-12-02T00:00:00"/>
    <n v="177"/>
    <x v="1"/>
    <s v="Kolkata"/>
    <s v="Word"/>
    <n v="18"/>
    <s v="Rajath"/>
  </r>
  <r>
    <s v="AMTZ190"/>
    <s v="Customer V"/>
    <d v="2018-12-02T00:00:00"/>
    <n v="192"/>
    <x v="1"/>
    <s v="Kolkata"/>
    <s v="Word"/>
    <n v="18"/>
    <s v="Rajath"/>
  </r>
  <r>
    <s v="AMTZ205"/>
    <s v="Customer V"/>
    <d v="2018-12-02T00:00:00"/>
    <n v="207"/>
    <x v="1"/>
    <s v="Kolkata"/>
    <s v="Word"/>
    <n v="18"/>
    <s v="Rajath"/>
  </r>
  <r>
    <s v="AMTZ220"/>
    <s v="Customer V"/>
    <d v="2018-12-02T00:00:00"/>
    <n v="222"/>
    <x v="1"/>
    <s v="Kolkata"/>
    <s v="Word"/>
    <n v="18"/>
    <s v="Rajath"/>
  </r>
  <r>
    <s v="AMTZ6"/>
    <s v="Customer W"/>
    <d v="2018-12-06T00:00:00"/>
    <n v="7"/>
    <x v="1"/>
    <s v="Chennai"/>
    <s v="Office 365"/>
    <n v="25"/>
    <s v="Raman"/>
  </r>
  <r>
    <s v="AMTZ143"/>
    <s v="Customer W"/>
    <d v="2018-12-06T00:00:00"/>
    <n v="146"/>
    <x v="1"/>
    <s v="Chennai"/>
    <s v="Office 365"/>
    <n v="25"/>
    <s v="Raman"/>
  </r>
  <r>
    <s v="AMTZ159"/>
    <s v="Customer W"/>
    <d v="2018-12-06T00:00:00"/>
    <n v="161"/>
    <x v="1"/>
    <s v="Chennai"/>
    <s v="Office 365"/>
    <n v="25"/>
    <s v="Raman"/>
  </r>
  <r>
    <s v="AMTZ174"/>
    <s v="Customer W"/>
    <d v="2018-12-06T00:00:00"/>
    <n v="176"/>
    <x v="1"/>
    <s v="Chennai"/>
    <s v="Office 365"/>
    <n v="25"/>
    <s v="Raman"/>
  </r>
  <r>
    <s v="AMTZ189"/>
    <s v="Customer W"/>
    <d v="2018-12-06T00:00:00"/>
    <n v="191"/>
    <x v="1"/>
    <s v="Chennai"/>
    <s v="Office 365"/>
    <n v="25"/>
    <s v="Raman"/>
  </r>
  <r>
    <s v="AMTZ204"/>
    <s v="Customer W"/>
    <d v="2018-12-06T00:00:00"/>
    <n v="206"/>
    <x v="1"/>
    <s v="Chennai"/>
    <s v="Office 365"/>
    <n v="25"/>
    <s v="Raman"/>
  </r>
  <r>
    <s v="AMTZ219"/>
    <s v="Customer W"/>
    <d v="2018-12-06T00:00:00"/>
    <n v="221"/>
    <x v="1"/>
    <s v="Chennai"/>
    <s v="Office 365"/>
    <n v="25"/>
    <s v="Raman"/>
  </r>
  <r>
    <s v="AMTZ5"/>
    <s v="Customer W"/>
    <d v="2018-12-15T00:00:00"/>
    <n v="6"/>
    <x v="1"/>
    <s v="New Delhi"/>
    <s v="Outlook"/>
    <n v="18"/>
    <s v="Rajath"/>
  </r>
  <r>
    <s v="AMTZ142"/>
    <s v="Customer W"/>
    <d v="2018-12-15T00:00:00"/>
    <n v="145"/>
    <x v="1"/>
    <s v="New Delhi"/>
    <s v="Outlook"/>
    <n v="18"/>
    <s v="Rajath"/>
  </r>
  <r>
    <s v="AMTZ158"/>
    <s v="Customer W"/>
    <d v="2018-12-15T00:00:00"/>
    <n v="160"/>
    <x v="1"/>
    <s v="New Delhi"/>
    <s v="Outlook"/>
    <n v="18"/>
    <s v="Rajath"/>
  </r>
  <r>
    <s v="AMTZ173"/>
    <s v="Customer W"/>
    <d v="2018-12-15T00:00:00"/>
    <n v="175"/>
    <x v="1"/>
    <s v="New Delhi"/>
    <s v="Outlook"/>
    <n v="18"/>
    <s v="Rajath"/>
  </r>
  <r>
    <s v="AMTZ188"/>
    <s v="Customer W"/>
    <d v="2018-12-15T00:00:00"/>
    <n v="190"/>
    <x v="1"/>
    <s v="New Delhi"/>
    <s v="Outlook"/>
    <n v="18"/>
    <s v="Rajath"/>
  </r>
  <r>
    <s v="AMTZ203"/>
    <s v="Customer W"/>
    <d v="2018-12-15T00:00:00"/>
    <n v="205"/>
    <x v="1"/>
    <s v="New Delhi"/>
    <s v="Outlook"/>
    <n v="18"/>
    <s v="Rajath"/>
  </r>
  <r>
    <s v="AMTZ218"/>
    <s v="Customer W"/>
    <d v="2018-12-15T00:00:00"/>
    <n v="220"/>
    <x v="1"/>
    <s v="New Delhi"/>
    <s v="Outlook"/>
    <n v="18"/>
    <s v="Rajath"/>
  </r>
  <r>
    <s v="AMTZ4"/>
    <s v="Customer X"/>
    <d v="2018-12-18T00:00:00"/>
    <n v="4"/>
    <x v="1"/>
    <s v="Nagpur"/>
    <s v="PowerBI"/>
    <n v="22"/>
    <s v="Amar"/>
  </r>
  <r>
    <s v="AMTZ140"/>
    <s v="Customer X"/>
    <d v="2018-12-18T00:00:00"/>
    <n v="143"/>
    <x v="1"/>
    <s v="Nagpur"/>
    <s v="PowerBI"/>
    <n v="22"/>
    <s v="Amar"/>
  </r>
  <r>
    <s v="AMTZ2"/>
    <s v="Customer Y"/>
    <d v="2018-12-25T00:00:00"/>
    <n v="2"/>
    <x v="1"/>
    <s v="New Delhi"/>
    <s v="Power"/>
    <n v="9"/>
    <s v="Rajath"/>
  </r>
  <r>
    <s v="AMTZ3"/>
    <s v="Customer Y"/>
    <d v="2018-12-25T00:00:00"/>
    <n v="3"/>
    <x v="1"/>
    <s v="Bengaluru"/>
    <s v="Excel"/>
    <n v="39"/>
    <s v="Raman"/>
  </r>
  <r>
    <s v="AMTZ138"/>
    <s v="Customer Y"/>
    <d v="2018-12-25T00:00:00"/>
    <n v="141"/>
    <x v="1"/>
    <s v="New Delhi"/>
    <s v="Power"/>
    <n v="9"/>
    <s v="Rajath"/>
  </r>
  <r>
    <s v="AMTZ139"/>
    <s v="Customer Y"/>
    <d v="2018-12-25T00:00:00"/>
    <n v="142"/>
    <x v="1"/>
    <s v="Bengaluru"/>
    <s v="Excel"/>
    <n v="39"/>
    <s v="Raman"/>
  </r>
  <r>
    <s v="AMTZ1"/>
    <s v="Customer Z"/>
    <d v="2018-12-30T00:00:00"/>
    <n v="1"/>
    <x v="1"/>
    <s v="Kolkata"/>
    <s v="Word"/>
    <n v="19"/>
    <s v="Rajath"/>
  </r>
  <r>
    <s v="AMTZ137"/>
    <s v="Customer Z"/>
    <d v="2018-12-30T00:00:00"/>
    <n v="140"/>
    <x v="1"/>
    <s v="Kolkata"/>
    <s v="Word"/>
    <n v="19"/>
    <s v="Rajath"/>
  </r>
  <r>
    <s v="AMTZ217"/>
    <s v="Customer X"/>
    <d v="2019-01-01T00:00:00"/>
    <n v="219"/>
    <x v="1"/>
    <s v="Pune"/>
    <s v="VBA"/>
    <n v="8"/>
    <s v="Amar"/>
  </r>
  <r>
    <s v="AMTZ223"/>
    <s v="Customer U"/>
    <d v="2019-11-28T00:00:00"/>
    <n v="225"/>
    <x v="1"/>
    <s v="Nagpur"/>
    <s v="PowerBI"/>
    <n v="24"/>
    <s v="Amar"/>
  </r>
  <r>
    <s v="AMTZ236"/>
    <s v="Customer U"/>
    <d v="2019-11-28T00:00:00"/>
    <n v="238"/>
    <x v="1"/>
    <s v="New Delhi"/>
    <s v="Power"/>
    <n v="30"/>
    <s v="Rajath"/>
  </r>
  <r>
    <s v="AMTZ236"/>
    <s v="Customer U"/>
    <d v="2019-11-28T00:00:00"/>
    <n v="248"/>
    <x v="1"/>
    <s v="New Delhi"/>
    <s v="Power"/>
    <n v="30"/>
    <s v="Rajath"/>
  </r>
  <r>
    <s v="AMTZ222"/>
    <s v="Customer U"/>
    <d v="2019-11-29T00:00:00"/>
    <n v="224"/>
    <x v="1"/>
    <s v="Bengaluru"/>
    <s v="Excel"/>
    <n v="24"/>
    <s v="Raman"/>
  </r>
  <r>
    <s v="AMTZ235"/>
    <s v="Customer U"/>
    <d v="2019-11-29T00:00:00"/>
    <n v="237"/>
    <x v="1"/>
    <s v="New Delhi"/>
    <s v="Power"/>
    <n v="30"/>
    <s v="Rajath"/>
  </r>
  <r>
    <s v="AMTZ235"/>
    <s v="Customer U"/>
    <d v="2019-11-29T00:00:00"/>
    <n v="247"/>
    <x v="1"/>
    <s v="New Delhi"/>
    <s v="Power"/>
    <n v="30"/>
    <s v="Rajath"/>
  </r>
  <r>
    <s v="AMTZ214"/>
    <s v="Customer W"/>
    <d v="2019-11-30T00:00:00"/>
    <n v="216"/>
    <x v="1"/>
    <s v="New Delhi"/>
    <s v="Power"/>
    <n v="30"/>
    <s v="Rajath"/>
  </r>
  <r>
    <s v="AMTZ215"/>
    <s v="Customer W"/>
    <d v="2019-11-30T00:00:00"/>
    <n v="217"/>
    <x v="1"/>
    <s v="New Delhi"/>
    <s v="Power"/>
    <n v="30"/>
    <s v="Rajath"/>
  </r>
  <r>
    <s v="AMTZ216"/>
    <s v="Customer Z"/>
    <d v="2019-11-30T00:00:00"/>
    <n v="218"/>
    <x v="1"/>
    <s v="New Delhi"/>
    <s v="Power"/>
    <n v="30"/>
    <s v="Rajath"/>
  </r>
  <r>
    <s v="AMTZ221"/>
    <s v="Customer V"/>
    <d v="2019-11-30T00:00:00"/>
    <n v="223"/>
    <x v="1"/>
    <s v="New Delhi"/>
    <s v="Power"/>
    <n v="30"/>
    <s v="Rajath"/>
  </r>
  <r>
    <s v="AMTZ224"/>
    <s v="Customer Z"/>
    <d v="2019-11-30T00:00:00"/>
    <n v="226"/>
    <x v="1"/>
    <s v="New Delhi"/>
    <s v="Power"/>
    <n v="30"/>
    <s v="Rajath"/>
  </r>
  <r>
    <s v="AMTZ225"/>
    <s v="Customer Y"/>
    <d v="2019-11-30T00:00:00"/>
    <n v="227"/>
    <x v="1"/>
    <s v="New Delhi"/>
    <s v="Power"/>
    <n v="30"/>
    <s v="Rajath"/>
  </r>
  <r>
    <s v="AMTZ226"/>
    <s v="Customer Y"/>
    <d v="2019-11-30T00:00:00"/>
    <n v="228"/>
    <x v="1"/>
    <s v="New Delhi"/>
    <s v="Power"/>
    <n v="30"/>
    <s v="Rajath"/>
  </r>
  <r>
    <s v="AMTZ227"/>
    <s v="Customer X"/>
    <d v="2019-11-30T00:00:00"/>
    <n v="229"/>
    <x v="1"/>
    <s v="New Delhi"/>
    <s v="Power"/>
    <n v="30"/>
    <s v="Rajath"/>
  </r>
  <r>
    <s v="AMTZ228"/>
    <s v="Customer X"/>
    <d v="2019-11-30T00:00:00"/>
    <n v="230"/>
    <x v="1"/>
    <s v="New Delhi"/>
    <s v="Power"/>
    <n v="30"/>
    <s v="Rajath"/>
  </r>
  <r>
    <s v="AMTZ229"/>
    <s v="Customer W"/>
    <d v="2019-11-30T00:00:00"/>
    <n v="231"/>
    <x v="1"/>
    <s v="New Delhi"/>
    <s v="Power"/>
    <n v="30"/>
    <s v="Rajath"/>
  </r>
  <r>
    <s v="AMTZ230"/>
    <s v="Customer W"/>
    <d v="2019-11-30T00:00:00"/>
    <n v="232"/>
    <x v="1"/>
    <s v="New Delhi"/>
    <s v="Power"/>
    <n v="30"/>
    <s v="Rajath"/>
  </r>
  <r>
    <s v="AMTZ231"/>
    <s v="Customer Z"/>
    <d v="2019-11-30T00:00:00"/>
    <n v="233"/>
    <x v="1"/>
    <s v="New Delhi"/>
    <s v="Power"/>
    <n v="30"/>
    <s v="Rajath"/>
  </r>
  <r>
    <s v="AMTZ234"/>
    <s v="Customer V"/>
    <d v="2019-11-30T00:00:00"/>
    <n v="236"/>
    <x v="1"/>
    <s v="Nagpur"/>
    <s v="PowerBI"/>
    <n v="24"/>
    <s v="Amar"/>
  </r>
  <r>
    <s v="AMTZ237"/>
    <s v="Customer Z"/>
    <d v="2019-11-30T00:00:00"/>
    <n v="239"/>
    <x v="1"/>
    <s v="New Delhi"/>
    <s v="Power"/>
    <n v="30"/>
    <s v="Rajath"/>
  </r>
  <r>
    <s v="AMTZ228"/>
    <s v="Customer X"/>
    <d v="2019-11-30T00:00:00"/>
    <n v="240"/>
    <x v="1"/>
    <s v="New Delhi"/>
    <s v="Power"/>
    <n v="30"/>
    <s v="Rajath"/>
  </r>
  <r>
    <s v="AMTZ229"/>
    <s v="Customer W"/>
    <d v="2019-11-30T00:00:00"/>
    <n v="241"/>
    <x v="1"/>
    <s v="New Delhi"/>
    <s v="Power"/>
    <n v="30"/>
    <s v="Rajath"/>
  </r>
  <r>
    <s v="AMTZ230"/>
    <s v="Customer W"/>
    <d v="2019-11-30T00:00:00"/>
    <n v="242"/>
    <x v="1"/>
    <s v="New Delhi"/>
    <s v="Power"/>
    <n v="30"/>
    <s v="Rajath"/>
  </r>
  <r>
    <s v="AMTZ231"/>
    <s v="Customer Z"/>
    <d v="2019-11-30T00:00:00"/>
    <n v="243"/>
    <x v="1"/>
    <s v="New Delhi"/>
    <s v="Power"/>
    <n v="30"/>
    <s v="Rajath"/>
  </r>
  <r>
    <s v="AMTZ234"/>
    <s v="Customer V"/>
    <d v="2019-11-30T00:00:00"/>
    <n v="246"/>
    <x v="1"/>
    <s v="Nagpur"/>
    <s v="PowerBI"/>
    <n v="24"/>
    <s v="Amar"/>
  </r>
  <r>
    <s v="AMTZ237"/>
    <s v="Another"/>
    <d v="2019-11-30T00:00:00"/>
    <n v="249"/>
    <x v="1"/>
    <s v="New Delhi"/>
    <s v="Power"/>
    <n v="30"/>
    <s v="Rajath"/>
  </r>
  <r>
    <s v="Some Number"/>
    <s v="PerepaEdu"/>
    <d v="2019-11-30T00:00:00"/>
    <n v="249"/>
    <x v="1"/>
    <s v="New Delhi"/>
    <s v="Excel"/>
    <n v="30"/>
    <s v="Rajath"/>
  </r>
  <r>
    <s v="AMTZ237"/>
    <s v="Customer Z"/>
    <d v="2019-11-30T00:00:00"/>
    <n v="239"/>
    <x v="1"/>
    <s v="Kanpur"/>
    <s v="Power"/>
    <n v="30"/>
    <s v="Amar"/>
  </r>
  <r>
    <m/>
    <s v="Vijay Perepa"/>
    <d v="2019-11-30T00:00:00"/>
    <n v="239"/>
    <x v="1"/>
    <s v="Kanpur"/>
    <s v="Power"/>
    <e v="#DIV/0!"/>
    <s v="Amar"/>
  </r>
  <r>
    <s v="AMTZ220"/>
    <s v="Customer V"/>
    <d v="2019-12-02T00:00:00"/>
    <n v="222"/>
    <x v="1"/>
    <s v="Kolkata"/>
    <s v="Word"/>
    <n v="18"/>
    <s v="Rajath"/>
  </r>
  <r>
    <s v="AMTZ233"/>
    <s v="Customer V"/>
    <d v="2019-12-02T00:00:00"/>
    <n v="235"/>
    <x v="1"/>
    <s v="Bengaluru"/>
    <s v="Excel"/>
    <n v="24"/>
    <s v="Raman"/>
  </r>
  <r>
    <s v="AMTZ233"/>
    <s v="Customer V"/>
    <d v="2019-12-02T00:00:00"/>
    <n v="245"/>
    <x v="1"/>
    <s v="Bengaluru"/>
    <s v="Excel"/>
    <n v="24"/>
    <s v="Raman"/>
  </r>
  <r>
    <s v="AMTZ219"/>
    <s v="Customer W"/>
    <d v="2019-12-06T00:00:00"/>
    <n v="221"/>
    <x v="1"/>
    <s v="Chennai"/>
    <s v="Office 365"/>
    <n v="25"/>
    <s v="Raman"/>
  </r>
  <r>
    <s v="AMTZ232"/>
    <s v="Customer W"/>
    <d v="2019-12-06T00:00:00"/>
    <n v="234"/>
    <x v="1"/>
    <s v="New Delhi"/>
    <s v="Power"/>
    <n v="30"/>
    <s v="Rajath"/>
  </r>
  <r>
    <s v="AMTZ232"/>
    <s v="Customer W"/>
    <d v="2019-12-06T00:00:00"/>
    <n v="244"/>
    <x v="1"/>
    <s v="New Delhi"/>
    <s v="Power"/>
    <n v="30"/>
    <s v="Rajath"/>
  </r>
  <r>
    <s v="AMTZ218"/>
    <s v="Customer W"/>
    <d v="2019-12-15T00:00:00"/>
    <n v="220"/>
    <x v="1"/>
    <s v="New Delhi"/>
    <s v="Outlook"/>
    <n v="18"/>
    <s v="Rajath"/>
  </r>
  <r>
    <s v="AMTZ236"/>
    <s v="Customer U"/>
    <d v="2020-11-28T00:00:00"/>
    <n v="248"/>
    <x v="5"/>
    <s v="New Delhi"/>
    <s v="Power"/>
    <n v="30"/>
    <s v="Rajath"/>
  </r>
  <r>
    <s v="AMTZ235"/>
    <s v="Customer U"/>
    <d v="2020-11-29T00:00:00"/>
    <n v="247"/>
    <x v="5"/>
    <s v="New Delhi"/>
    <s v="Power"/>
    <n v="30"/>
    <s v="Rajath"/>
  </r>
  <r>
    <s v="AMTZ231"/>
    <s v="Customer Z"/>
    <d v="2020-11-30T00:00:00"/>
    <n v="243"/>
    <x v="5"/>
    <s v="New Delhi"/>
    <s v="Power"/>
    <n v="30"/>
    <s v="Rajath"/>
  </r>
  <r>
    <s v="AMTZ234"/>
    <s v="Customer V"/>
    <d v="2020-11-30T00:00:00"/>
    <n v="246"/>
    <x v="5"/>
    <s v="Nagpur"/>
    <s v="PowerBI"/>
    <n v="24"/>
    <s v="Amar"/>
  </r>
  <r>
    <s v="AMTZ237"/>
    <s v="Another"/>
    <d v="2020-11-30T00:00:00"/>
    <n v="249"/>
    <x v="5"/>
    <s v="New Delhi"/>
    <s v="Power"/>
    <n v="30"/>
    <s v="Rajath"/>
  </r>
  <r>
    <s v="Some Number"/>
    <s v="PerepaEdu"/>
    <d v="2020-11-30T00:00:00"/>
    <n v="249"/>
    <x v="5"/>
    <s v="New Delhi"/>
    <s v="Excel"/>
    <n v="30"/>
    <s v="Rajath"/>
  </r>
  <r>
    <s v="AMTZ1234"/>
    <s v="Vijay Perepa"/>
    <d v="2020-11-30T00:00:00"/>
    <n v="249"/>
    <x v="5"/>
    <s v="New Delhi"/>
    <s v="Power"/>
    <n v="30"/>
    <s v="Rajath"/>
  </r>
  <r>
    <m/>
    <s v="DELL"/>
    <d v="2020-11-30T00:00:00"/>
    <n v="249"/>
    <x v="5"/>
    <s v="New Delhi"/>
    <s v="Power"/>
    <n v="30"/>
    <s v="Rajath"/>
  </r>
  <r>
    <m/>
    <s v="Hexa"/>
    <d v="2020-11-30T00:00:00"/>
    <n v="249"/>
    <x v="5"/>
    <s v="New Delhi"/>
    <s v="Excel"/>
    <e v="#DIV/0!"/>
    <s v="Rajath"/>
  </r>
  <r>
    <m/>
    <s v="Hexa2"/>
    <d v="2020-11-30T00:00:00"/>
    <n v="249"/>
    <x v="5"/>
    <s v="New Delhi"/>
    <s v="Excel"/>
    <n v="30"/>
    <s v="Rajath"/>
  </r>
  <r>
    <m/>
    <s v="Hexa3"/>
    <d v="2020-11-30T00:00:00"/>
    <n v="249"/>
    <x v="5"/>
    <s v="New Delhi"/>
    <s v="Excel"/>
    <n v="30"/>
    <s v="Rajath"/>
  </r>
  <r>
    <m/>
    <s v="ESI"/>
    <d v="2020-11-30T00:00:00"/>
    <n v="249"/>
    <x v="5"/>
    <s v="New Delhi"/>
    <s v="Excel"/>
    <e v="#DIV/0!"/>
    <s v="Rajath"/>
  </r>
  <r>
    <m/>
    <s v="ESI"/>
    <d v="2020-11-30T00:00:00"/>
    <n v="249"/>
    <x v="1"/>
    <s v="New Delhi"/>
    <s v="Excel"/>
    <n v="30"/>
    <s v="Rajath"/>
  </r>
  <r>
    <m/>
    <s v="ESI"/>
    <d v="2020-11-30T00:00:00"/>
    <n v="249"/>
    <x v="1"/>
    <s v="New Delhi"/>
    <s v="Excel"/>
    <n v="30"/>
    <s v="Rajath"/>
  </r>
  <r>
    <s v="AMTZ233"/>
    <s v="Customer V"/>
    <d v="2020-12-02T00:00:00"/>
    <n v="245"/>
    <x v="5"/>
    <s v="Bengaluru"/>
    <s v="Excel"/>
    <n v="24"/>
    <s v="Raman"/>
  </r>
  <r>
    <s v="AMTZ232"/>
    <s v="Customer W"/>
    <d v="2020-12-06T00:00:00"/>
    <n v="244"/>
    <x v="5"/>
    <s v="New Delhi"/>
    <s v="Power"/>
    <n v="30"/>
    <s v="Rajath"/>
  </r>
  <r>
    <s v="AMTZ128"/>
    <s v="Customer A"/>
    <d v="2021-01-07T00:00:00"/>
    <n v="130"/>
    <x v="0"/>
    <s v="Chennai"/>
    <s v="PowerBI"/>
    <n v="26"/>
    <s v="Raman"/>
  </r>
  <r>
    <s v="AMTZ128"/>
    <s v="Customer A"/>
    <d v="2021-01-07T00:00:00"/>
    <n v="131"/>
    <x v="0"/>
    <s v="Chennai"/>
    <s v="PowerBI"/>
    <n v="26"/>
    <s v="Raman"/>
  </r>
  <r>
    <s v="customer unique"/>
    <s v="customer unique"/>
    <d v="2021-01-07T00:00:00"/>
    <n v="132"/>
    <x v="0"/>
    <s v="Chennai"/>
    <s v="PowerBI"/>
    <n v="26"/>
    <s v="Raman"/>
  </r>
  <r>
    <s v="AMTZ141"/>
    <s v="Customer A"/>
    <d v="2021-01-07T00:00:00"/>
    <n v="130"/>
    <x v="0"/>
    <s v="Chennai"/>
    <s v="PowerBI"/>
    <n v="26"/>
    <s v="Raman"/>
  </r>
  <r>
    <s v="AMTZ142"/>
    <s v="Customer A"/>
    <d v="2021-01-07T00:00:00"/>
    <n v="131"/>
    <x v="0"/>
    <s v="Chennai"/>
    <s v="PowerBI"/>
    <n v="26"/>
    <s v="Raman"/>
  </r>
  <r>
    <s v="AMTZ127"/>
    <s v="Customer A"/>
    <d v="2021-01-10T00:00:00"/>
    <n v="129"/>
    <x v="0"/>
    <s v="Pune"/>
    <s v="Excel"/>
    <n v="26"/>
    <s v="Amar"/>
  </r>
  <r>
    <s v="AMTZ140"/>
    <s v="Customer A"/>
    <d v="2021-01-10T00:00:00"/>
    <n v="129"/>
    <x v="0"/>
    <s v="Pune"/>
    <s v="Excel"/>
    <n v="26"/>
    <s v="Amar"/>
  </r>
  <r>
    <s v="AMTZ125"/>
    <s v="Customer AA"/>
    <d v="2021-01-11T00:00:00"/>
    <n v="127"/>
    <x v="0"/>
    <s v="Pune"/>
    <s v="Outlook"/>
    <n v="37"/>
    <s v="Amar"/>
  </r>
  <r>
    <s v="AMTZ126"/>
    <s v="Customer A"/>
    <d v="2021-01-11T00:00:00"/>
    <n v="128"/>
    <x v="0"/>
    <s v="Chennai"/>
    <s v="Office 365"/>
    <n v="8"/>
    <s v="Raman"/>
  </r>
  <r>
    <s v="AMTZ135"/>
    <s v="Customer AA"/>
    <d v="2021-01-11T00:00:00"/>
    <n v="133"/>
    <x v="0"/>
    <s v="Pune"/>
    <s v="Outlook"/>
    <n v="37"/>
    <s v="Amar"/>
  </r>
  <r>
    <s v="AMTZ136"/>
    <s v="Customer AB"/>
    <d v="2021-01-11T00:00:00"/>
    <n v="134"/>
    <x v="0"/>
    <s v="Pune"/>
    <s v="Outlook"/>
    <n v="100"/>
    <s v="Amar"/>
  </r>
  <r>
    <s v="AMTZ137"/>
    <s v="Customer AB"/>
    <d v="2021-01-11T00:00:00"/>
    <n v="135"/>
    <x v="0"/>
    <s v="Pune"/>
    <s v="Outlook"/>
    <n v="100"/>
    <s v="Amar"/>
  </r>
  <r>
    <s v="AMTZ138"/>
    <s v="Customer AB"/>
    <d v="2021-01-11T00:00:00"/>
    <n v="136"/>
    <x v="0"/>
    <s v="Pune"/>
    <s v="Outlook"/>
    <n v="37"/>
    <s v="Amar"/>
  </r>
  <r>
    <s v="AMTZ139"/>
    <s v="Customer A"/>
    <d v="2021-01-11T00:00:00"/>
    <n v="128"/>
    <x v="0"/>
    <s v="Chennai"/>
    <s v="Office 365"/>
    <n v="8"/>
    <s v="Raman"/>
  </r>
  <r>
    <s v="AMTZ135"/>
    <s v="Customer AA"/>
    <d v="2021-01-11T00:00:00"/>
    <n v="132"/>
    <x v="0"/>
    <s v="Chennai"/>
    <s v="Office 365"/>
    <n v="8"/>
    <s v="Raman"/>
  </r>
  <r>
    <s v="AMTZ135"/>
    <s v="Customer AA"/>
    <d v="2021-01-11T00:00:00"/>
    <n v="133"/>
    <x v="0"/>
    <s v="Chennai"/>
    <s v="Office 365"/>
    <n v="8"/>
    <s v="Raman"/>
  </r>
  <r>
    <s v="AMTZ135"/>
    <s v="Customer AA"/>
    <d v="2021-01-11T00:00:00"/>
    <n v="134"/>
    <x v="0"/>
    <s v="Chennai"/>
    <s v="Office 365"/>
    <n v="8"/>
    <s v="Raman"/>
  </r>
  <r>
    <s v="AMTZ135"/>
    <s v="Customer AA"/>
    <d v="2021-01-11T00:00:00"/>
    <n v="135"/>
    <x v="0"/>
    <s v="Chennai"/>
    <s v="Office 365"/>
    <n v="8"/>
    <s v="Raman"/>
  </r>
  <r>
    <s v="AMTZ135"/>
    <s v="Customer AA"/>
    <d v="2021-01-11T00:00:00"/>
    <n v="136"/>
    <x v="0"/>
    <s v="Chennai"/>
    <s v="Office 365"/>
    <n v="8"/>
    <s v="Raman"/>
  </r>
  <r>
    <s v="AMTZ135"/>
    <s v="Customer AA"/>
    <d v="2021-01-11T00:00:00"/>
    <n v="137"/>
    <x v="0"/>
    <s v="Chennai"/>
    <s v="Office 365"/>
    <n v="8"/>
    <s v="Raman"/>
  </r>
  <r>
    <s v="AMTZ135"/>
    <s v="Customer AA"/>
    <d v="2021-01-11T00:00:00"/>
    <n v="138"/>
    <x v="0"/>
    <s v="Chennai"/>
    <s v="Office 365"/>
    <n v="8"/>
    <s v="Raman"/>
  </r>
  <r>
    <s v="AMTZ136"/>
    <s v="Customer AA"/>
    <d v="2021-01-11T00:00:00"/>
    <n v="139"/>
    <x v="0"/>
    <s v="Chennai"/>
    <s v="Office 365"/>
    <n v="234"/>
    <s v="Raman"/>
  </r>
  <r>
    <s v="AMTZ122"/>
    <s v="Customer AB"/>
    <d v="2021-01-13T00:00:00"/>
    <n v="124"/>
    <x v="0"/>
    <s v="New Delhi"/>
    <s v="Excel"/>
    <n v="33"/>
    <s v="Rajath"/>
  </r>
  <r>
    <s v="AMTZ123"/>
    <s v="Customer AB"/>
    <d v="2021-01-13T00:00:00"/>
    <n v="125"/>
    <x v="0"/>
    <s v="Bengaluru"/>
    <s v="PowerBI"/>
    <n v="21"/>
    <s v="Raman"/>
  </r>
  <r>
    <s v="AMTZ124"/>
    <s v="Customer AA"/>
    <d v="2021-01-13T00:00:00"/>
    <n v="126"/>
    <x v="0"/>
    <s v="Nagpur"/>
    <s v="VBA"/>
    <n v="25"/>
    <s v="Amar"/>
  </r>
  <r>
    <s v="AMTZ121"/>
    <s v="Customer AB"/>
    <d v="2021-01-15T00:00:00"/>
    <n v="123"/>
    <x v="0"/>
    <s v="Kolkata"/>
    <s v="Power"/>
    <n v="10"/>
    <s v="Rajath"/>
  </r>
  <r>
    <s v="AMTZ120"/>
    <s v="Customer AC"/>
    <d v="2021-01-16T00:00:00"/>
    <n v="122"/>
    <x v="0"/>
    <s v="Hyderabad"/>
    <s v="Word"/>
    <n v="8"/>
    <s v="Amar"/>
  </r>
  <r>
    <s v="AMTZ119"/>
    <s v="Customer AC"/>
    <d v="2021-01-21T00:00:00"/>
    <n v="121"/>
    <x v="0"/>
    <s v="Chennai"/>
    <s v="Office 365"/>
    <n v="17"/>
    <s v="Raman"/>
  </r>
  <r>
    <s v="AMTZ118"/>
    <s v="Customer AD"/>
    <d v="2021-01-22T00:00:00"/>
    <n v="120"/>
    <x v="0"/>
    <s v="Pune"/>
    <s v="Outlook"/>
    <n v="30"/>
    <s v="Amar"/>
  </r>
  <r>
    <s v="AMTZ117"/>
    <s v="Customer AD"/>
    <d v="2021-01-29T00:00:00"/>
    <n v="119"/>
    <x v="0"/>
    <s v="Nagpur"/>
    <s v="VBA"/>
    <n v="24"/>
    <s v="Amar"/>
  </r>
  <r>
    <s v="AMTZ116"/>
    <s v="Customer AE"/>
    <d v="2021-01-31T00:00:00"/>
    <n v="118"/>
    <x v="0"/>
    <s v="Bengaluru"/>
    <s v="PowerBI"/>
    <n v="31"/>
    <s v="Raman"/>
  </r>
  <r>
    <s v="AMTZ115"/>
    <s v="Customer AE"/>
    <d v="2021-02-01T00:00:00"/>
    <n v="117"/>
    <x v="1"/>
    <s v="New Delhi"/>
    <s v="Excel"/>
    <n v="30"/>
    <s v="Rajath"/>
  </r>
  <r>
    <s v="AMTZ114"/>
    <s v="Customer AF"/>
    <d v="2021-02-02T00:00:00"/>
    <n v="116"/>
    <x v="1"/>
    <s v="Kolkata"/>
    <s v="Power"/>
    <n v="15"/>
    <s v="Rajath"/>
  </r>
  <r>
    <s v="AMTZ113"/>
    <s v="Customer AF"/>
    <d v="2021-02-03T00:00:00"/>
    <n v="115"/>
    <x v="1"/>
    <s v="Hyderabad"/>
    <s v="Word"/>
    <n v="19"/>
    <s v="Amar"/>
  </r>
  <r>
    <s v="AMTZ112"/>
    <s v="Customer AG"/>
    <d v="2021-02-09T00:00:00"/>
    <n v="114"/>
    <x v="1"/>
    <s v="Chennai"/>
    <s v="Office 365"/>
    <n v="40"/>
    <s v="Raman"/>
  </r>
  <r>
    <s v="AMTZ111"/>
    <s v="Customer AG"/>
    <d v="2021-02-11T00:00:00"/>
    <n v="113"/>
    <x v="1"/>
    <s v="Pune"/>
    <s v="Outlook"/>
    <n v="21"/>
    <s v="Amar"/>
  </r>
  <r>
    <s v="AMTZ110"/>
    <s v="Customer AH"/>
    <d v="2021-02-14T00:00:00"/>
    <n v="111"/>
    <x v="1"/>
    <s v="Nagpur"/>
    <s v="PowerBI"/>
    <n v="28"/>
    <s v="Amar"/>
  </r>
  <r>
    <s v="AMTZ110"/>
    <s v="Customer AH"/>
    <d v="2021-02-14T00:00:00"/>
    <n v="112"/>
    <x v="1"/>
    <s v="New Delhi"/>
    <s v="VBA"/>
    <n v="25"/>
    <s v="Rajath"/>
  </r>
  <r>
    <s v="AMTZ109"/>
    <s v="Customer AI"/>
    <d v="2021-02-18T00:00:00"/>
    <n v="110"/>
    <x v="1"/>
    <s v="Bengaluru"/>
    <s v="Excel"/>
    <n v="15"/>
    <s v="Raman"/>
  </r>
  <r>
    <s v="AMTZ108"/>
    <s v="Customer AI"/>
    <d v="2021-02-20T00:00:00"/>
    <n v="109"/>
    <x v="1"/>
    <s v="New Delhi"/>
    <s v="Power"/>
    <n v="27"/>
    <s v="Rajath"/>
  </r>
  <r>
    <s v="AMTZ107"/>
    <s v="Customer AJ"/>
    <d v="2021-02-22T00:00:00"/>
    <n v="108"/>
    <x v="1"/>
    <s v="Kolkata"/>
    <s v="Word"/>
    <n v="19"/>
    <s v="Rajath"/>
  </r>
  <r>
    <s v="AMTZ105"/>
    <s v="Customer AK"/>
    <d v="2021-03-03T00:00:00"/>
    <n v="106"/>
    <x v="1"/>
    <s v="Pune"/>
    <s v="Outlook"/>
    <n v="21"/>
    <s v="Amar"/>
  </r>
  <r>
    <s v="AMTZ106"/>
    <s v="Customer AJ"/>
    <d v="2021-03-03T00:00:00"/>
    <n v="107"/>
    <x v="1"/>
    <s v="Chennai"/>
    <s v="Office 365"/>
    <n v="9"/>
    <s v="Raman"/>
  </r>
  <r>
    <s v="AMTZ104"/>
    <s v="Customer AK"/>
    <d v="2021-03-04T00:00:00"/>
    <n v="105"/>
    <x v="1"/>
    <s v="Nagpur"/>
    <s v="VBA"/>
    <n v="33"/>
    <s v="Amar"/>
  </r>
  <r>
    <s v="AMTZ103"/>
    <s v="Customer AL"/>
    <d v="2021-03-08T00:00:00"/>
    <n v="104"/>
    <x v="1"/>
    <s v="Bengaluru"/>
    <s v="PowerBI"/>
    <n v="33"/>
    <s v="Raman"/>
  </r>
  <r>
    <s v="AMTZ102"/>
    <s v="Customer AL"/>
    <d v="2021-03-09T00:00:00"/>
    <n v="103"/>
    <x v="1"/>
    <s v="New Delhi"/>
    <s v="Excel"/>
    <n v="19"/>
    <s v="Rajath"/>
  </r>
  <r>
    <s v="AMTZ101"/>
    <s v="Customer AM"/>
    <d v="2021-03-21T00:00:00"/>
    <n v="102"/>
    <x v="1"/>
    <s v="Kolkata"/>
    <s v="Power"/>
    <n v="20"/>
    <s v="Rajath"/>
  </r>
  <r>
    <s v="AMTZ99"/>
    <s v="Customer AN"/>
    <d v="2021-03-22T00:00:00"/>
    <n v="100"/>
    <x v="1"/>
    <s v="Chennai"/>
    <s v="Office 365"/>
    <n v="34"/>
    <s v="Raman"/>
  </r>
  <r>
    <s v="AMTZ100"/>
    <s v="Customer AM"/>
    <d v="2021-03-22T00:00:00"/>
    <n v="101"/>
    <x v="1"/>
    <s v="Hyderabad"/>
    <s v="Word"/>
    <n v="11"/>
    <s v="Amar"/>
  </r>
  <r>
    <s v="AMTZ98"/>
    <s v="Customer AN"/>
    <d v="2021-03-25T00:00:00"/>
    <n v="99"/>
    <x v="2"/>
    <s v="Pune"/>
    <s v="Outlook"/>
    <n v="39"/>
    <s v="Amar"/>
  </r>
  <r>
    <s v="AMTZ97"/>
    <s v="Customer AO"/>
    <d v="2021-03-26T00:00:00"/>
    <n v="98"/>
    <x v="2"/>
    <s v="Nagpur"/>
    <s v="VBA"/>
    <n v="23"/>
    <s v="Amar"/>
  </r>
  <r>
    <s v="AMTZ96"/>
    <s v="Customer AO"/>
    <d v="2021-04-03T00:00:00"/>
    <n v="97"/>
    <x v="2"/>
    <s v="Bengaluru"/>
    <s v="PowerBI"/>
    <n v="25"/>
    <s v="Raman"/>
  </r>
  <r>
    <s v="AMTZ95"/>
    <s v="Customer AP"/>
    <d v="2021-04-04T00:00:00"/>
    <n v="96"/>
    <x v="2"/>
    <s v="New Delhi"/>
    <s v="Excel"/>
    <n v="19"/>
    <s v="Rajath"/>
  </r>
  <r>
    <s v="AMTZ94"/>
    <s v="Customer AP"/>
    <d v="2021-04-08T00:00:00"/>
    <n v="95"/>
    <x v="2"/>
    <s v="Kolkata"/>
    <s v="Power"/>
    <n v="10"/>
    <s v="Rajath"/>
  </r>
  <r>
    <s v="AMTZ93"/>
    <s v="Customer AQ"/>
    <d v="2021-04-09T00:00:00"/>
    <n v="94"/>
    <x v="2"/>
    <s v="Hyderabad"/>
    <s v="Word"/>
    <n v="11"/>
    <s v="Amar"/>
  </r>
  <r>
    <s v="AMTZ92"/>
    <s v="Customer AQ"/>
    <d v="2021-04-14T00:00:00"/>
    <n v="93"/>
    <x v="2"/>
    <s v="Chennai"/>
    <s v="Outlook"/>
    <n v="18"/>
    <s v="Raman"/>
  </r>
  <r>
    <s v="AMTZ91"/>
    <s v="Customer AR"/>
    <d v="2021-04-15T00:00:00"/>
    <n v="92"/>
    <x v="2"/>
    <s v="Pune"/>
    <s v="VBA"/>
    <n v="35"/>
    <s v="Amar"/>
  </r>
  <r>
    <s v="AMTZ90"/>
    <s v="Customer AR"/>
    <d v="2021-04-17T00:00:00"/>
    <n v="91"/>
    <x v="2"/>
    <s v="Nagpur"/>
    <s v="PowerBI"/>
    <n v="36"/>
    <s v="Amar"/>
  </r>
  <r>
    <s v="AMTZ89"/>
    <s v="Customer AS"/>
    <d v="2021-04-24T00:00:00"/>
    <n v="90"/>
    <x v="2"/>
    <s v="Bengaluru"/>
    <s v="Excel"/>
    <n v="31"/>
    <s v="Raman"/>
  </r>
  <r>
    <s v="AMTZ88"/>
    <s v="Customer AS"/>
    <d v="2021-04-25T00:00:00"/>
    <n v="89"/>
    <x v="2"/>
    <s v="New Delhi"/>
    <s v="Power"/>
    <n v="11"/>
    <s v="Rajath"/>
  </r>
  <r>
    <s v="AMTZ87"/>
    <s v="Customer AT"/>
    <d v="2021-04-26T00:00:00"/>
    <n v="88"/>
    <x v="2"/>
    <s v="Kolkata"/>
    <s v="Word"/>
    <n v="20"/>
    <s v="Rajath"/>
  </r>
  <r>
    <s v="AMTZ86"/>
    <s v="Customer AT"/>
    <d v="2021-04-27T00:00:00"/>
    <n v="87"/>
    <x v="2"/>
    <s v="Chennai"/>
    <s v="Outlook"/>
    <n v="29"/>
    <s v="Raman"/>
  </r>
  <r>
    <s v="AMTZ85"/>
    <s v="Customer AU"/>
    <d v="2021-05-04T00:00:00"/>
    <n v="86"/>
    <x v="2"/>
    <s v="Pune"/>
    <s v="VBA"/>
    <n v="15"/>
    <s v="Amar"/>
  </r>
  <r>
    <s v="AMTZ84"/>
    <s v="Customer AU"/>
    <d v="2021-05-08T00:00:00"/>
    <n v="85"/>
    <x v="2"/>
    <s v="Nagpur"/>
    <s v="PowerBI"/>
    <n v="15"/>
    <s v="Amar"/>
  </r>
  <r>
    <s v="AMTZ83"/>
    <s v="Customer AV"/>
    <d v="2021-05-09T00:00:00"/>
    <n v="84"/>
    <x v="2"/>
    <s v="Bengaluru"/>
    <s v="Excel"/>
    <n v="12"/>
    <s v="Raman"/>
  </r>
  <r>
    <s v="AMTZ82"/>
    <s v="Customer AV"/>
    <d v="2021-05-14T00:00:00"/>
    <n v="83"/>
    <x v="2"/>
    <s v="New Delhi"/>
    <s v="Power"/>
    <n v="21"/>
    <s v="Rajath"/>
  </r>
  <r>
    <s v="AMTZ79"/>
    <s v="Customer AX"/>
    <d v="2021-05-15T00:00:00"/>
    <n v="80"/>
    <x v="2"/>
    <s v="Chennai"/>
    <s v="VBA"/>
    <n v="22"/>
    <s v="Raman"/>
  </r>
  <r>
    <s v="AMTZ80"/>
    <s v="Customer AW"/>
    <d v="2021-05-15T00:00:00"/>
    <n v="81"/>
    <x v="2"/>
    <s v="Hyderabad"/>
    <s v="Outlook"/>
    <n v="27"/>
    <s v="Amar"/>
  </r>
  <r>
    <s v="AMTZ81"/>
    <s v="Customer AW"/>
    <d v="2021-05-15T00:00:00"/>
    <n v="82"/>
    <x v="2"/>
    <s v="Kolkata"/>
    <s v="Word"/>
    <n v="11"/>
    <s v="Rajath"/>
  </r>
  <r>
    <s v="AMTZ78"/>
    <s v="Customer AX"/>
    <d v="2021-05-16T00:00:00"/>
    <n v="79"/>
    <x v="2"/>
    <s v="Pune"/>
    <s v="PowerBI"/>
    <n v="13"/>
    <s v="Amar"/>
  </r>
  <r>
    <s v="AMTZ77"/>
    <s v="Customer AY"/>
    <d v="2021-05-17T00:00:00"/>
    <n v="78"/>
    <x v="2"/>
    <s v="Nagpur"/>
    <s v="Excel"/>
    <n v="37"/>
    <s v="Amar"/>
  </r>
  <r>
    <s v="AMTZ76"/>
    <s v="Customer AY"/>
    <d v="2021-05-18T00:00:00"/>
    <n v="77"/>
    <x v="2"/>
    <s v="Bengaluru"/>
    <s v="Power"/>
    <n v="35"/>
    <s v="Raman"/>
  </r>
  <r>
    <s v="AMTZ75"/>
    <s v="Customer AZ"/>
    <d v="2021-05-20T00:00:00"/>
    <n v="76"/>
    <x v="2"/>
    <s v="New Delhi"/>
    <s v="Word"/>
    <n v="21"/>
    <s v="Rajath"/>
  </r>
  <r>
    <s v="AMTZ74"/>
    <s v="Customer AZ"/>
    <d v="2021-05-23T00:00:00"/>
    <n v="75"/>
    <x v="2"/>
    <s v="Kolkata"/>
    <s v="VBA"/>
    <n v="27"/>
    <s v="Rajath"/>
  </r>
  <r>
    <s v="AMTZ73"/>
    <s v="Customer B"/>
    <d v="2021-05-24T00:00:00"/>
    <n v="74"/>
    <x v="2"/>
    <s v="Hyderabad"/>
    <s v="PowerBI"/>
    <n v="9"/>
    <s v="Amar"/>
  </r>
  <r>
    <s v="AMTZ70"/>
    <s v="Customer BA"/>
    <d v="2021-05-25T00:00:00"/>
    <n v="71"/>
    <x v="0"/>
    <s v="Nagpur"/>
    <s v="Word"/>
    <n v="39"/>
    <s v="Amar"/>
  </r>
  <r>
    <s v="AMTZ71"/>
    <s v="Customer BA"/>
    <d v="2021-05-25T00:00:00"/>
    <n v="72"/>
    <x v="0"/>
    <s v="Pune"/>
    <s v="Power"/>
    <n v="15"/>
    <s v="Amar"/>
  </r>
  <r>
    <s v="AMTZ72"/>
    <s v="Customer B"/>
    <d v="2021-05-25T00:00:00"/>
    <n v="73"/>
    <x v="2"/>
    <s v="Chennai"/>
    <s v="Excel"/>
    <n v="28"/>
    <s v="Raman"/>
  </r>
  <r>
    <s v="AMTZ69"/>
    <s v="Customer BB"/>
    <d v="2021-06-01T00:00:00"/>
    <n v="70"/>
    <x v="0"/>
    <s v="Bengaluru"/>
    <s v="Outlook"/>
    <n v="33"/>
    <s v="Raman"/>
  </r>
  <r>
    <s v="AMTZ68"/>
    <s v="Customer BB"/>
    <d v="2021-06-02T00:00:00"/>
    <n v="69"/>
    <x v="0"/>
    <s v="New Delhi"/>
    <s v="VBA"/>
    <n v="19"/>
    <s v="Rajath"/>
  </r>
  <r>
    <s v="AMTZ67"/>
    <s v="Customer BC"/>
    <d v="2021-06-05T00:00:00"/>
    <n v="68"/>
    <x v="0"/>
    <s v="Kolkata"/>
    <s v="PowerBI"/>
    <n v="31"/>
    <s v="Rajath"/>
  </r>
  <r>
    <s v="AMTZ66"/>
    <s v="Customer BC"/>
    <d v="2021-06-10T00:00:00"/>
    <n v="67"/>
    <x v="1"/>
    <s v="Chennai"/>
    <s v="Excel"/>
    <n v="11"/>
    <s v="Raman"/>
  </r>
  <r>
    <s v="AMTZ65"/>
    <s v="Customer BD"/>
    <d v="2021-06-15T00:00:00"/>
    <n v="66"/>
    <x v="1"/>
    <s v="Pune"/>
    <s v="Power"/>
    <n v="37"/>
    <s v="Amar"/>
  </r>
  <r>
    <s v="AMTZ63"/>
    <s v="Customer BE"/>
    <d v="2021-06-17T00:00:00"/>
    <n v="64"/>
    <x v="1"/>
    <s v="Bengaluru"/>
    <s v="PowerBI"/>
    <n v="30"/>
    <s v="Raman"/>
  </r>
  <r>
    <s v="AMTZ64"/>
    <s v="Customer BD"/>
    <d v="2021-06-17T00:00:00"/>
    <n v="65"/>
    <x v="1"/>
    <s v="Nagpur"/>
    <s v="Word"/>
    <n v="31"/>
    <s v="Amar"/>
  </r>
  <r>
    <s v="AMTZ62"/>
    <s v="Customer BE"/>
    <d v="2021-06-18T00:00:00"/>
    <n v="63"/>
    <x v="1"/>
    <s v="New Delhi"/>
    <s v="Excel"/>
    <n v="15"/>
    <s v="Rajath"/>
  </r>
  <r>
    <s v="AMTZ61"/>
    <s v="Customer BF"/>
    <d v="2021-06-22T00:00:00"/>
    <n v="62"/>
    <x v="1"/>
    <s v="Kolkata"/>
    <s v="Power"/>
    <n v="38"/>
    <s v="Rajath"/>
  </r>
  <r>
    <s v="AMTZ59"/>
    <s v="Customer BG"/>
    <d v="2021-07-01T00:00:00"/>
    <n v="60"/>
    <x v="1"/>
    <s v="Chennai"/>
    <s v="Office 365"/>
    <n v="40"/>
    <s v="Raman"/>
  </r>
  <r>
    <s v="AMTZ60"/>
    <s v="Customer BF"/>
    <d v="2021-07-01T00:00:00"/>
    <n v="61"/>
    <x v="1"/>
    <s v="Hyderabad"/>
    <s v="Word"/>
    <n v="17"/>
    <s v="Amar"/>
  </r>
  <r>
    <s v="AMTZ58"/>
    <s v="Customer BG"/>
    <d v="2021-07-04T00:00:00"/>
    <n v="59"/>
    <x v="1"/>
    <s v="Pune"/>
    <s v="Outlook"/>
    <n v="25"/>
    <s v="Amar"/>
  </r>
  <r>
    <s v="AMTZ56"/>
    <s v="Customer BH"/>
    <d v="2021-07-12T00:00:00"/>
    <n v="57"/>
    <x v="1"/>
    <s v="Bengaluru"/>
    <s v="PowerBI"/>
    <n v="30"/>
    <s v="Raman"/>
  </r>
  <r>
    <s v="AMTZ57"/>
    <s v="Customer BH"/>
    <d v="2021-07-12T00:00:00"/>
    <n v="58"/>
    <x v="1"/>
    <s v="Nagpur"/>
    <s v="VBA"/>
    <n v="24"/>
    <s v="Amar"/>
  </r>
  <r>
    <s v="AMTZ55"/>
    <s v="Customer BI"/>
    <d v="2021-07-14T00:00:00"/>
    <n v="56"/>
    <x v="1"/>
    <s v="New Delhi"/>
    <s v="Excel"/>
    <n v="39"/>
    <s v="Rajath"/>
  </r>
  <r>
    <s v="AMTZ54"/>
    <s v="Customer BI"/>
    <d v="2021-07-17T00:00:00"/>
    <n v="55"/>
    <x v="1"/>
    <s v="Kolkata"/>
    <s v="Power"/>
    <n v="39"/>
    <s v="Rajath"/>
  </r>
  <r>
    <s v="AMTZ53"/>
    <s v="Customer BJ"/>
    <d v="2021-07-20T00:00:00"/>
    <n v="54"/>
    <x v="1"/>
    <s v="Hyderabad"/>
    <s v="Word"/>
    <n v="32"/>
    <s v="Amar"/>
  </r>
  <r>
    <s v="AMTZ52"/>
    <s v="Customer BJ"/>
    <d v="2021-07-24T00:00:00"/>
    <n v="53"/>
    <x v="1"/>
    <s v="Chennai"/>
    <s v="Office 365"/>
    <n v="12"/>
    <s v="Raman"/>
  </r>
  <r>
    <s v="AMTZ50"/>
    <s v="Customer BK"/>
    <d v="2021-07-26T00:00:00"/>
    <n v="51"/>
    <x v="1"/>
    <s v="Nagpur"/>
    <s v="VBA"/>
    <n v="38"/>
    <s v="Amar"/>
  </r>
  <r>
    <s v="AMTZ51"/>
    <s v="Customer BK"/>
    <d v="2021-07-26T00:00:00"/>
    <n v="52"/>
    <x v="1"/>
    <s v="Pune"/>
    <s v="Outlook"/>
    <n v="18"/>
    <s v="Amar"/>
  </r>
  <r>
    <s v="AMTZ49"/>
    <s v="Customer BL"/>
    <d v="2021-07-27T00:00:00"/>
    <n v="50"/>
    <x v="1"/>
    <s v="Bengaluru"/>
    <s v="PowerBI"/>
    <n v="36"/>
    <s v="Raman"/>
  </r>
  <r>
    <s v="AMTZ48"/>
    <s v="Customer BL"/>
    <d v="2021-07-28T00:00:00"/>
    <n v="49"/>
    <x v="1"/>
    <s v="New Delhi"/>
    <s v="Excel"/>
    <n v="25"/>
    <s v="Rajath"/>
  </r>
  <r>
    <s v="AMTZ47"/>
    <s v="Customer C"/>
    <d v="2021-07-29T00:00:00"/>
    <n v="48"/>
    <x v="0"/>
    <s v="Kolkata"/>
    <s v="Power"/>
    <n v="20"/>
    <s v="Rajath"/>
  </r>
  <r>
    <s v="AMTZ46"/>
    <s v="Customer C"/>
    <d v="2021-08-04T00:00:00"/>
    <n v="47"/>
    <x v="0"/>
    <s v="Chennai"/>
    <s v="Word"/>
    <n v="18"/>
    <s v="Raman"/>
  </r>
  <r>
    <s v="AMTZ45"/>
    <s v="Customer D"/>
    <d v="2021-08-14T00:00:00"/>
    <n v="46"/>
    <x v="0"/>
    <s v="Pune"/>
    <s v="PowerBI"/>
    <n v="23"/>
    <s v="Amar"/>
  </r>
  <r>
    <s v="AMTZ44"/>
    <s v="Customer D"/>
    <d v="2021-08-19T00:00:00"/>
    <n v="45"/>
    <x v="0"/>
    <s v="Nagpur"/>
    <s v="Excel"/>
    <n v="14"/>
    <s v="Amar"/>
  </r>
  <r>
    <s v="AMTZ43"/>
    <s v="Customer E"/>
    <d v="2021-08-24T00:00:00"/>
    <n v="44"/>
    <x v="0"/>
    <s v="Bengaluru"/>
    <s v="Power"/>
    <n v="19"/>
    <s v="Raman"/>
  </r>
  <r>
    <s v="AMTZ42"/>
    <s v="Customer E"/>
    <d v="2021-09-11T00:00:00"/>
    <n v="43"/>
    <x v="0"/>
    <s v="New Delhi"/>
    <s v="Word"/>
    <n v="32"/>
    <s v="Rajath"/>
  </r>
  <r>
    <s v="AMTZ41"/>
    <s v="Customer F"/>
    <d v="2021-09-13T00:00:00"/>
    <n v="42"/>
    <x v="0"/>
    <s v="Kolkata"/>
    <s v="Office 365"/>
    <n v="27"/>
    <s v="Rajath"/>
  </r>
  <r>
    <s v="AMTZ40"/>
    <s v="Customer F"/>
    <d v="2021-09-14T00:00:00"/>
    <n v="41"/>
    <x v="0"/>
    <s v="Hyderabad"/>
    <s v="Outlook"/>
    <n v="20"/>
    <s v="Amar"/>
  </r>
  <r>
    <s v="AMTZ39"/>
    <s v="Customer G"/>
    <d v="2021-09-15T00:00:00"/>
    <n v="40"/>
    <x v="0"/>
    <s v="Chennai"/>
    <s v="VBA"/>
    <n v="28"/>
    <s v="Raman"/>
  </r>
  <r>
    <s v="AMTZ38"/>
    <s v="Customer G"/>
    <d v="2021-09-21T00:00:00"/>
    <n v="39"/>
    <x v="0"/>
    <s v="Pune"/>
    <s v="PowerBI"/>
    <n v="16"/>
    <s v="Amar"/>
  </r>
  <r>
    <s v="AMTZ36"/>
    <s v="Customer H"/>
    <d v="2021-09-22T00:00:00"/>
    <n v="37"/>
    <x v="0"/>
    <s v="Bengaluru"/>
    <s v="Power"/>
    <n v="23"/>
    <s v="Raman"/>
  </r>
  <r>
    <s v="AMTZ37"/>
    <s v="Customer H"/>
    <d v="2021-09-22T00:00:00"/>
    <n v="38"/>
    <x v="0"/>
    <s v="Nagpur"/>
    <s v="Excel"/>
    <n v="34"/>
    <s v="Amar"/>
  </r>
  <r>
    <s v="AMTZ34"/>
    <s v="Customer I"/>
    <d v="2021-09-27T00:00:00"/>
    <n v="35"/>
    <x v="0"/>
    <s v="Kolkata"/>
    <s v="Office 365"/>
    <n v="24"/>
    <s v="Rajath"/>
  </r>
  <r>
    <s v="AMTZ35"/>
    <s v="Customer I"/>
    <d v="2021-09-27T00:00:00"/>
    <n v="36"/>
    <x v="0"/>
    <s v="New Delhi"/>
    <s v="Word"/>
    <n v="37"/>
    <s v="Rajath"/>
  </r>
  <r>
    <s v="AMTZ33"/>
    <s v="Customer J"/>
    <d v="2021-09-29T00:00:00"/>
    <n v="34"/>
    <x v="0"/>
    <s v="Hyderabad"/>
    <s v="Outlook"/>
    <n v="32"/>
    <s v="Amar"/>
  </r>
  <r>
    <s v="AMTZ32"/>
    <s v="Customer J"/>
    <d v="2021-10-03T00:00:00"/>
    <n v="33"/>
    <x v="0"/>
    <s v="Chennai"/>
    <s v="VBA"/>
    <n v="19"/>
    <s v="Raman"/>
  </r>
  <r>
    <s v="AMTZ30"/>
    <s v="Customer K"/>
    <d v="2021-10-05T00:00:00"/>
    <n v="31"/>
    <x v="2"/>
    <s v="Nagpur"/>
    <s v="Excel"/>
    <n v="35"/>
    <s v="Amar"/>
  </r>
  <r>
    <s v="AMTZ31"/>
    <s v="Customer K"/>
    <d v="2021-10-05T00:00:00"/>
    <n v="32"/>
    <x v="0"/>
    <s v="Pune"/>
    <s v="PowerBI"/>
    <n v="39"/>
    <s v="Amar"/>
  </r>
  <r>
    <s v="AMTZ29"/>
    <s v="Customer L"/>
    <d v="2021-10-06T00:00:00"/>
    <n v="30"/>
    <x v="2"/>
    <s v="Bengaluru"/>
    <s v="Power"/>
    <n v="21"/>
    <s v="Raman"/>
  </r>
  <r>
    <s v="AMTZ28"/>
    <s v="Customer L"/>
    <d v="2021-10-16T00:00:00"/>
    <n v="29"/>
    <x v="2"/>
    <s v="New Delhi"/>
    <s v="Word"/>
    <n v="32"/>
    <s v="Rajath"/>
  </r>
  <r>
    <s v="AMTZ27"/>
    <s v="Customer M"/>
    <d v="2021-10-18T00:00:00"/>
    <n v="28"/>
    <x v="2"/>
    <s v="Kolkata"/>
    <s v="Office 365"/>
    <n v="10"/>
    <s v="Rajath"/>
  </r>
  <r>
    <s v="AMTZ26"/>
    <s v="Customer M"/>
    <d v="2021-10-19T00:00:00"/>
    <n v="27"/>
    <x v="2"/>
    <s v="Chennai"/>
    <s v="Outlook"/>
    <n v="27"/>
    <s v="Raman"/>
  </r>
  <r>
    <s v="AMTZ24"/>
    <s v="Customer N"/>
    <d v="2021-10-20T00:00:00"/>
    <n v="25"/>
    <x v="2"/>
    <s v="Nagpur"/>
    <s v="PowerBI"/>
    <n v="40"/>
    <s v="Amar"/>
  </r>
  <r>
    <s v="AMTZ25"/>
    <s v="Customer N"/>
    <d v="2021-10-20T00:00:00"/>
    <n v="26"/>
    <x v="2"/>
    <s v="Pune"/>
    <s v="VBA"/>
    <n v="14"/>
    <s v="Amar"/>
  </r>
  <r>
    <s v="AMTZ23"/>
    <s v="Customer O"/>
    <d v="2021-10-24T00:00:00"/>
    <n v="24"/>
    <x v="2"/>
    <s v="Bengaluru"/>
    <s v="Excel"/>
    <n v="34"/>
    <s v="Raman"/>
  </r>
  <r>
    <s v="AMTZ22"/>
    <s v="Customer O"/>
    <d v="2021-10-25T00:00:00"/>
    <n v="23"/>
    <x v="2"/>
    <s v="New Delhi"/>
    <s v="Power"/>
    <n v="15"/>
    <s v="Rajath"/>
  </r>
  <r>
    <s v="AMTZ21"/>
    <s v="Customer P"/>
    <d v="2021-10-26T00:00:00"/>
    <n v="22"/>
    <x v="2"/>
    <s v="Kolkata"/>
    <s v="Word"/>
    <n v="28"/>
    <s v="Rajath"/>
  </r>
  <r>
    <s v="AMTZ20"/>
    <s v="Customer P"/>
    <d v="2021-10-28T00:00:00"/>
    <n v="21"/>
    <x v="2"/>
    <s v="Hyderabad"/>
    <s v="Office 365"/>
    <n v="36"/>
    <s v="Amar"/>
  </r>
  <r>
    <s v="AMTZ18"/>
    <s v="Customer Q"/>
    <d v="2021-10-29T00:00:00"/>
    <n v="19"/>
    <x v="2"/>
    <s v="Pune"/>
    <s v="VBA"/>
    <n v="39"/>
    <s v="Amar"/>
  </r>
  <r>
    <s v="AMTZ19"/>
    <s v="Customer Q"/>
    <d v="2021-10-29T00:00:00"/>
    <n v="20"/>
    <x v="2"/>
    <s v="Chennai"/>
    <s v="Outlook"/>
    <n v="25"/>
    <s v="Raman"/>
  </r>
  <r>
    <s v="AMTZ17"/>
    <s v="Customer Q"/>
    <d v="2021-11-01T00:00:00"/>
    <n v="18"/>
    <x v="1"/>
    <s v="Nagpur"/>
    <s v="PowerBI"/>
    <n v="38"/>
    <s v="Amar"/>
  </r>
  <r>
    <s v="AMTZ16"/>
    <s v="Customer R"/>
    <d v="2021-11-02T00:00:00"/>
    <n v="17"/>
    <x v="1"/>
    <s v="Bengaluru"/>
    <s v="Excel"/>
    <n v="23"/>
    <s v="Raman"/>
  </r>
  <r>
    <s v="AMTZ15"/>
    <s v="Customer R"/>
    <d v="2021-11-10T00:00:00"/>
    <n v="16"/>
    <x v="1"/>
    <s v="New Delhi"/>
    <s v="Power"/>
    <n v="34"/>
    <s v="Rajath"/>
  </r>
  <r>
    <s v="AMTZ14"/>
    <s v="Customer S"/>
    <d v="2021-11-13T00:00:00"/>
    <n v="15"/>
    <x v="1"/>
    <s v="Kolkata"/>
    <s v="Word"/>
    <n v="32"/>
    <s v="Rajath"/>
  </r>
  <r>
    <s v="AMTZ13"/>
    <s v="Customer S"/>
    <d v="2021-11-16T00:00:00"/>
    <n v="14"/>
    <x v="3"/>
    <s v="Hyderabad"/>
    <s v="Excel"/>
    <n v="33"/>
    <s v="Amar"/>
  </r>
  <r>
    <s v="AMTZ12"/>
    <s v="Customer T"/>
    <d v="2021-11-19T00:00:00"/>
    <n v="13"/>
    <x v="4"/>
    <s v="Chennai"/>
    <s v="Outlook"/>
    <n v="11"/>
    <s v="Raman"/>
  </r>
  <r>
    <s v="AMTZ11"/>
    <s v="Customer T"/>
    <d v="2021-11-20T00:00:00"/>
    <n v="12"/>
    <x v="5"/>
    <s v="Pune"/>
    <s v="VBA"/>
    <n v="17"/>
    <s v="Amar"/>
  </r>
  <r>
    <s v="AMTZ10"/>
    <s v="Customer U"/>
    <d v="2021-11-28T00:00:00"/>
    <n v="11"/>
    <x v="4"/>
    <s v="Nagpur"/>
    <s v="Excel"/>
    <n v="24"/>
    <s v="Amar"/>
  </r>
  <r>
    <s v="AMTZ147"/>
    <s v="Customer U"/>
    <d v="2021-11-28T00:00:00"/>
    <n v="150"/>
    <x v="1"/>
    <s v="Nagpur"/>
    <s v="PowerBI"/>
    <n v="24"/>
    <s v="Amar"/>
  </r>
  <r>
    <s v="AMTZ163"/>
    <s v="Customer U"/>
    <d v="2021-11-28T00:00:00"/>
    <n v="165"/>
    <x v="1"/>
    <s v="Nagpur"/>
    <s v="PowerBI"/>
    <n v="24"/>
    <s v="Amar"/>
  </r>
  <r>
    <s v="AMTZ178"/>
    <s v="Customer U"/>
    <d v="2021-11-28T00:00:00"/>
    <n v="180"/>
    <x v="1"/>
    <s v="Nagpur"/>
    <s v="PowerBI"/>
    <n v="24"/>
    <s v="Amar"/>
  </r>
  <r>
    <s v="AMTZ193"/>
    <s v="Customer U"/>
    <d v="2021-11-28T00:00:00"/>
    <n v="195"/>
    <x v="1"/>
    <s v="Nagpur"/>
    <s v="PowerBI"/>
    <n v="24"/>
    <s v="Amar"/>
  </r>
  <r>
    <s v="AMTZ208"/>
    <s v="Customer U"/>
    <d v="2021-11-28T00:00:00"/>
    <n v="210"/>
    <x v="1"/>
    <s v="Nagpur"/>
    <s v="PowerBI"/>
    <n v="24"/>
    <s v="Amar"/>
  </r>
  <r>
    <s v="AMTZ223"/>
    <s v="Customer U"/>
    <d v="2021-11-28T00:00:00"/>
    <n v="225"/>
    <x v="1"/>
    <s v="Nagpur"/>
    <s v="PowerBI"/>
    <n v="24"/>
    <s v="Amar"/>
  </r>
  <r>
    <s v="AMTZ9"/>
    <s v="Customer U"/>
    <d v="2021-11-29T00:00:00"/>
    <n v="10"/>
    <x v="4"/>
    <s v="New Delhi"/>
    <s v="Excel"/>
    <n v="24"/>
    <s v="Rajath"/>
  </r>
  <r>
    <s v="AMTZ146"/>
    <s v="Customer U"/>
    <d v="2021-11-29T00:00:00"/>
    <n v="149"/>
    <x v="1"/>
    <s v="Bengaluru"/>
    <s v="Excel"/>
    <n v="24"/>
    <s v="Raman"/>
  </r>
  <r>
    <s v="AMTZ162"/>
    <s v="Customer U"/>
    <d v="2021-11-29T00:00:00"/>
    <n v="164"/>
    <x v="1"/>
    <s v="Bengaluru"/>
    <s v="Excel"/>
    <n v="24"/>
    <s v="Raman"/>
  </r>
  <r>
    <s v="AMTZ177"/>
    <s v="Customer U"/>
    <d v="2021-11-29T00:00:00"/>
    <n v="179"/>
    <x v="1"/>
    <s v="Bengaluru"/>
    <s v="Excel"/>
    <n v="24"/>
    <s v="Raman"/>
  </r>
  <r>
    <s v="AMTZ192"/>
    <s v="Customer U"/>
    <d v="2021-11-29T00:00:00"/>
    <n v="194"/>
    <x v="1"/>
    <s v="Bengaluru"/>
    <s v="Excel"/>
    <n v="24"/>
    <s v="Raman"/>
  </r>
  <r>
    <s v="AMTZ207"/>
    <s v="Customer U"/>
    <d v="2021-11-29T00:00:00"/>
    <n v="209"/>
    <x v="1"/>
    <s v="Bengaluru"/>
    <s v="Excel"/>
    <n v="24"/>
    <s v="Raman"/>
  </r>
  <r>
    <s v="AMTZ222"/>
    <s v="Customer U"/>
    <d v="2021-11-29T00:00:00"/>
    <n v="224"/>
    <x v="1"/>
    <s v="Bengaluru"/>
    <s v="Excel"/>
    <n v="24"/>
    <s v="Raman"/>
  </r>
  <r>
    <s v="AMTZ8"/>
    <s v="Customer V"/>
    <d v="2021-11-30T00:00:00"/>
    <n v="9"/>
    <x v="5"/>
    <s v="New Delhi"/>
    <s v="Power"/>
    <n v="30"/>
    <s v="Rajath"/>
  </r>
  <r>
    <s v="AMTZ145"/>
    <s v="Customer V"/>
    <d v="2021-11-30T00:00:00"/>
    <n v="148"/>
    <x v="1"/>
    <s v="New Delhi"/>
    <s v="Power"/>
    <n v="30"/>
    <s v="Rajath"/>
  </r>
  <r>
    <s v="AMTZ148"/>
    <s v="Customer Z"/>
    <d v="2021-11-30T00:00:00"/>
    <n v="151"/>
    <x v="1"/>
    <s v="New Delhi"/>
    <s v="Power"/>
    <n v="30"/>
    <s v="Rajath"/>
  </r>
  <r>
    <s v="AMTZ149"/>
    <s v="Customer Y"/>
    <d v="2021-11-30T00:00:00"/>
    <n v="152"/>
    <x v="1"/>
    <s v="New Delhi"/>
    <s v="Power"/>
    <n v="30"/>
    <s v="Rajath"/>
  </r>
  <r>
    <s v="AMTZ150"/>
    <s v="Customer Y"/>
    <d v="2021-11-30T00:00:00"/>
    <n v="153"/>
    <x v="1"/>
    <s v="New Delhi"/>
    <s v="Power"/>
    <n v="30"/>
    <s v="Rajath"/>
  </r>
  <r>
    <s v="AMTZ151"/>
    <s v="Customer X"/>
    <d v="2021-11-30T00:00:00"/>
    <n v="154"/>
    <x v="1"/>
    <s v="New Delhi"/>
    <s v="Power"/>
    <n v="30"/>
    <s v="Rajath"/>
  </r>
  <r>
    <s v="AMTZ152"/>
    <s v="Customer X"/>
    <d v="2021-11-30T00:00:00"/>
    <n v="155"/>
    <x v="1"/>
    <s v="New Delhi"/>
    <s v="Power"/>
    <n v="30"/>
    <s v="Rajath"/>
  </r>
  <r>
    <s v="AMTZ153"/>
    <s v="Customer W"/>
    <d v="2021-11-30T00:00:00"/>
    <n v="156"/>
    <x v="1"/>
    <s v="New Delhi"/>
    <s v="Power"/>
    <n v="30"/>
    <s v="Rajath"/>
  </r>
  <r>
    <s v="AMTZ154"/>
    <s v="Customer W"/>
    <d v="2021-11-30T00:00:00"/>
    <n v="157"/>
    <x v="1"/>
    <s v="New Delhi"/>
    <s v="Power"/>
    <n v="30"/>
    <s v="Rajath"/>
  </r>
  <r>
    <s v="AMTZ155"/>
    <s v="Customer Z"/>
    <d v="2021-11-30T00:00:00"/>
    <n v="158"/>
    <x v="1"/>
    <s v="New Delhi"/>
    <s v="Power"/>
    <n v="30"/>
    <s v="Rajath"/>
  </r>
  <r>
    <s v="AMTZ156"/>
    <s v="Vijay Perepa"/>
    <d v="2021-11-30T00:00:00"/>
    <n v="158"/>
    <x v="1"/>
    <s v="New Delhi"/>
    <s v="Power"/>
    <n v="26"/>
    <s v="Rajath"/>
  </r>
  <r>
    <s v="AMTZ161"/>
    <s v="Customer V"/>
    <d v="2021-11-30T00:00:00"/>
    <n v="163"/>
    <x v="1"/>
    <s v="New Delhi"/>
    <s v="Power"/>
    <n v="30"/>
    <s v="Rajath"/>
  </r>
  <r>
    <s v="AMTZ164"/>
    <s v="Customer Z"/>
    <d v="2021-11-30T00:00:00"/>
    <n v="166"/>
    <x v="1"/>
    <s v="New Delhi"/>
    <s v="Power"/>
    <n v="30"/>
    <s v="Rajath"/>
  </r>
  <r>
    <s v="AMTZ165"/>
    <s v="Customer Y"/>
    <d v="2021-11-30T00:00:00"/>
    <n v="167"/>
    <x v="1"/>
    <s v="New Delhi"/>
    <s v="Power"/>
    <n v="30"/>
    <s v="Rajath"/>
  </r>
  <r>
    <s v="AMTZ166"/>
    <s v="Customer Y"/>
    <d v="2021-11-30T00:00:00"/>
    <n v="168"/>
    <x v="1"/>
    <s v="New Delhi"/>
    <s v="Power"/>
    <n v="30"/>
    <s v="Rajath"/>
  </r>
  <r>
    <s v="AMTZ167"/>
    <s v="Customer X"/>
    <d v="2021-11-30T00:00:00"/>
    <n v="169"/>
    <x v="1"/>
    <s v="New Delhi"/>
    <s v="Power"/>
    <n v="30"/>
    <s v="Rajath"/>
  </r>
  <r>
    <s v="AMTZ168"/>
    <s v="Customer X"/>
    <d v="2021-11-30T00:00:00"/>
    <n v="170"/>
    <x v="1"/>
    <s v="New Delhi"/>
    <s v="Power"/>
    <n v="30"/>
    <s v="Rajath"/>
  </r>
  <r>
    <s v="AMTZ169"/>
    <s v="Customer W"/>
    <d v="2021-11-30T00:00:00"/>
    <n v="171"/>
    <x v="1"/>
    <s v="New Delhi"/>
    <s v="Power"/>
    <n v="30"/>
    <s v="Rajath"/>
  </r>
  <r>
    <s v="AMTZ170"/>
    <s v="Customer W"/>
    <d v="2021-11-30T00:00:00"/>
    <n v="172"/>
    <x v="1"/>
    <s v="New Delhi"/>
    <s v="Power"/>
    <n v="30"/>
    <s v="Rajath"/>
  </r>
  <r>
    <s v="AMTZ171"/>
    <s v="Customer Z"/>
    <d v="2021-11-30T00:00:00"/>
    <n v="173"/>
    <x v="1"/>
    <s v="New Delhi"/>
    <s v="Power"/>
    <n v="30"/>
    <s v="Rajath"/>
  </r>
  <r>
    <s v="AMTZ176"/>
    <s v="Customer V"/>
    <d v="2021-11-30T00:00:00"/>
    <n v="178"/>
    <x v="1"/>
    <s v="New Delhi"/>
    <s v="Power"/>
    <n v="30"/>
    <s v="Rajath"/>
  </r>
  <r>
    <s v="AMTZ179"/>
    <s v="Customer Z"/>
    <d v="2021-11-30T00:00:00"/>
    <n v="181"/>
    <x v="1"/>
    <s v="New Delhi"/>
    <s v="Power"/>
    <n v="30"/>
    <s v="Rajath"/>
  </r>
  <r>
    <s v="AMTZ180"/>
    <s v="Customer Y"/>
    <d v="2021-11-30T00:00:00"/>
    <n v="182"/>
    <x v="1"/>
    <s v="New Delhi"/>
    <s v="Power"/>
    <n v="30"/>
    <s v="Rajath"/>
  </r>
  <r>
    <s v="AMTZ181"/>
    <s v="Customer Y"/>
    <d v="2021-11-30T00:00:00"/>
    <n v="183"/>
    <x v="1"/>
    <s v="New Delhi"/>
    <s v="Power"/>
    <n v="30"/>
    <s v="Rajath"/>
  </r>
  <r>
    <s v="AMTZ182"/>
    <s v="Customer X"/>
    <d v="2021-11-30T00:00:00"/>
    <n v="184"/>
    <x v="1"/>
    <s v="New Delhi"/>
    <s v="Power"/>
    <n v="30"/>
    <s v="Rajath"/>
  </r>
  <r>
    <s v="AMTZ183"/>
    <s v="Customer X"/>
    <d v="2021-11-30T00:00:00"/>
    <n v="185"/>
    <x v="1"/>
    <s v="New Delhi"/>
    <s v="Power"/>
    <n v="30"/>
    <s v="Rajath"/>
  </r>
  <r>
    <s v="AMTZ184"/>
    <s v="Customer W"/>
    <d v="2021-11-30T00:00:00"/>
    <n v="186"/>
    <x v="1"/>
    <s v="New Delhi"/>
    <s v="Power"/>
    <n v="30"/>
    <s v="Rajath"/>
  </r>
  <r>
    <s v="AMTZ185"/>
    <s v="Customer W"/>
    <d v="2021-11-30T00:00:00"/>
    <n v="187"/>
    <x v="1"/>
    <s v="New Delhi"/>
    <s v="Power"/>
    <n v="30"/>
    <s v="Rajath"/>
  </r>
  <r>
    <s v="AMTZ186"/>
    <s v="Customer Z"/>
    <d v="2021-11-30T00:00:00"/>
    <n v="188"/>
    <x v="1"/>
    <s v="New Delhi"/>
    <s v="Power"/>
    <n v="30"/>
    <s v="Rajath"/>
  </r>
  <r>
    <s v="AMTZ191"/>
    <s v="Customer V"/>
    <d v="2021-11-30T00:00:00"/>
    <n v="193"/>
    <x v="1"/>
    <s v="New Delhi"/>
    <s v="Power"/>
    <n v="30"/>
    <s v="Rajath"/>
  </r>
  <r>
    <s v="AMTZ194"/>
    <s v="Customer Z"/>
    <d v="2021-11-30T00:00:00"/>
    <n v="196"/>
    <x v="1"/>
    <s v="New Delhi"/>
    <s v="Power"/>
    <n v="30"/>
    <s v="Rajath"/>
  </r>
  <r>
    <s v="AMTZ195"/>
    <s v="Customer Y"/>
    <d v="2021-11-30T00:00:00"/>
    <n v="197"/>
    <x v="1"/>
    <s v="New Delhi"/>
    <s v="Power"/>
    <n v="30"/>
    <s v="Rajath"/>
  </r>
  <r>
    <s v="AMTZ196"/>
    <s v="Customer Y"/>
    <d v="2021-11-30T00:00:00"/>
    <n v="198"/>
    <x v="1"/>
    <s v="New Delhi"/>
    <s v="Power"/>
    <n v="30"/>
    <s v="Rajath"/>
  </r>
  <r>
    <s v="AMTZ197"/>
    <s v="Customer X"/>
    <d v="2021-11-30T00:00:00"/>
    <n v="199"/>
    <x v="1"/>
    <s v="New Delhi"/>
    <s v="Power"/>
    <n v="30"/>
    <s v="Rajath"/>
  </r>
  <r>
    <s v="AMTZ198"/>
    <s v="Customer X"/>
    <d v="2021-11-30T00:00:00"/>
    <n v="200"/>
    <x v="1"/>
    <s v="New Delhi"/>
    <s v="Power"/>
    <n v="30"/>
    <s v="Rajath"/>
  </r>
  <r>
    <s v="AMTZ199"/>
    <s v="Customer W"/>
    <d v="2021-11-30T00:00:00"/>
    <n v="201"/>
    <x v="1"/>
    <s v="New Delhi"/>
    <s v="Power"/>
    <n v="30"/>
    <s v="Rajath"/>
  </r>
  <r>
    <s v="AMTZ200"/>
    <s v="Customer W"/>
    <d v="2021-11-30T00:00:00"/>
    <n v="202"/>
    <x v="1"/>
    <s v="New Delhi"/>
    <s v="Power"/>
    <n v="30"/>
    <s v="Rajath"/>
  </r>
  <r>
    <s v="AMTZ201"/>
    <s v="Customer Z"/>
    <d v="2021-11-30T00:00:00"/>
    <n v="203"/>
    <x v="1"/>
    <s v="New Delhi"/>
    <s v="Power"/>
    <n v="30"/>
    <s v="Rajath"/>
  </r>
  <r>
    <s v="AMTZ206"/>
    <s v="Customer V"/>
    <d v="2021-11-30T00:00:00"/>
    <n v="208"/>
    <x v="1"/>
    <s v="New Delhi"/>
    <s v="Power"/>
    <n v="30"/>
    <s v="Rajath"/>
  </r>
  <r>
    <s v="AMTZ209"/>
    <s v="Customer Z"/>
    <d v="2021-11-30T00:00:00"/>
    <n v="211"/>
    <x v="1"/>
    <s v="New Delhi"/>
    <s v="Power"/>
    <n v="30"/>
    <s v="Rajath"/>
  </r>
  <r>
    <s v="AMTZ210"/>
    <s v="Customer Y"/>
    <d v="2021-11-30T00:00:00"/>
    <n v="212"/>
    <x v="1"/>
    <s v="New Delhi"/>
    <s v="Power"/>
    <n v="30"/>
    <s v="Rajath"/>
  </r>
  <r>
    <s v="AMTZ211"/>
    <s v="Customer Y"/>
    <d v="2021-11-30T00:00:00"/>
    <n v="213"/>
    <x v="1"/>
    <s v="New Delhi"/>
    <s v="Power"/>
    <n v="30"/>
    <s v="Rajath"/>
  </r>
  <r>
    <s v="AMTZ212"/>
    <s v="Customer X"/>
    <d v="2021-11-30T00:00:00"/>
    <n v="214"/>
    <x v="1"/>
    <s v="New Delhi"/>
    <s v="Power"/>
    <n v="30"/>
    <s v="Rajath"/>
  </r>
  <r>
    <s v="AMTZ213"/>
    <s v="Customer X"/>
    <d v="2021-11-30T00:00:00"/>
    <n v="215"/>
    <x v="1"/>
    <s v="New Delhi"/>
    <s v="Power"/>
    <n v="30"/>
    <s v="Rajath"/>
  </r>
  <r>
    <s v="AMTZ214"/>
    <s v="Customer W"/>
    <d v="2021-11-30T00:00:00"/>
    <n v="216"/>
    <x v="1"/>
    <s v="New Delhi"/>
    <s v="Power"/>
    <n v="30"/>
    <s v="Rajath"/>
  </r>
  <r>
    <s v="AMTZ215"/>
    <s v="Customer W"/>
    <d v="2021-11-30T00:00:00"/>
    <n v="217"/>
    <x v="1"/>
    <s v="New Delhi"/>
    <s v="Power"/>
    <n v="30"/>
    <s v="Rajath"/>
  </r>
  <r>
    <s v="AMTZ216"/>
    <s v="Customer Z"/>
    <d v="2021-11-30T00:00:00"/>
    <n v="218"/>
    <x v="1"/>
    <s v="New Delhi"/>
    <s v="Power"/>
    <n v="30"/>
    <s v="Rajath"/>
  </r>
  <r>
    <s v="AMTZ221"/>
    <s v="Customer V"/>
    <d v="2021-11-30T00:00:00"/>
    <n v="223"/>
    <x v="1"/>
    <s v="New Delhi"/>
    <s v="Power"/>
    <n v="30"/>
    <s v="Rajath"/>
  </r>
  <r>
    <s v="AMTZ224"/>
    <s v="Customer Z"/>
    <d v="2021-11-30T00:00:00"/>
    <n v="226"/>
    <x v="1"/>
    <s v="New Delhi"/>
    <s v="Power"/>
    <n v="30"/>
    <s v="Rajath"/>
  </r>
  <r>
    <s v="AMTZ225"/>
    <s v="Customer Y"/>
    <d v="2021-11-30T00:00:00"/>
    <n v="227"/>
    <x v="1"/>
    <s v="New Delhi"/>
    <s v="Power"/>
    <n v="30"/>
    <s v="Rajath"/>
  </r>
  <r>
    <s v="AMTZ226"/>
    <s v="Customer Y"/>
    <d v="2021-11-30T00:00:00"/>
    <n v="228"/>
    <x v="1"/>
    <s v="New Delhi"/>
    <s v="Power"/>
    <n v="30"/>
    <s v="Rajath"/>
  </r>
  <r>
    <s v="AMTZ227"/>
    <s v="Customer X"/>
    <d v="2021-11-30T00:00:00"/>
    <n v="229"/>
    <x v="1"/>
    <s v="New Delhi"/>
    <s v="Power"/>
    <n v="30"/>
    <s v="Rajath"/>
  </r>
  <r>
    <s v="AMTZ228"/>
    <s v="Customer X"/>
    <d v="2021-11-30T00:00:00"/>
    <n v="230"/>
    <x v="1"/>
    <s v="New Delhi"/>
    <s v="Power"/>
    <n v="30"/>
    <s v="Rajath"/>
  </r>
  <r>
    <s v="AMTZ229"/>
    <s v="Customer W"/>
    <d v="2021-11-30T00:00:00"/>
    <n v="231"/>
    <x v="1"/>
    <s v="New Delhi"/>
    <s v="Power"/>
    <n v="30"/>
    <s v="Rajath"/>
  </r>
  <r>
    <s v="AMTZ230"/>
    <s v="Customer W"/>
    <d v="2021-11-30T00:00:00"/>
    <n v="232"/>
    <x v="1"/>
    <s v="New Delhi"/>
    <s v="Power"/>
    <n v="30"/>
    <s v="Rajath"/>
  </r>
  <r>
    <s v="AMTZ7"/>
    <s v="Customer V"/>
    <d v="2021-12-02T00:00:00"/>
    <n v="8"/>
    <x v="4"/>
    <s v="Kolkata"/>
    <s v="Word"/>
    <n v="18"/>
    <s v="Rajath"/>
  </r>
  <r>
    <s v="AMTZ144"/>
    <s v="Customer V"/>
    <d v="2021-12-02T00:00:00"/>
    <n v="147"/>
    <x v="1"/>
    <s v="Kolkata"/>
    <s v="Word"/>
    <n v="18"/>
    <s v="Rajath"/>
  </r>
  <r>
    <s v="AMTZ160"/>
    <s v="Customer V"/>
    <d v="2021-12-02T00:00:00"/>
    <n v="162"/>
    <x v="1"/>
    <s v="Kolkata"/>
    <s v="Word"/>
    <n v="18"/>
    <s v="Rajath"/>
  </r>
  <r>
    <s v="AMTZ175"/>
    <s v="Customer V"/>
    <d v="2021-12-02T00:00:00"/>
    <n v="177"/>
    <x v="1"/>
    <s v="Kolkata"/>
    <s v="Word"/>
    <n v="18"/>
    <s v="Rajath"/>
  </r>
  <r>
    <s v="AMTZ190"/>
    <s v="Customer V"/>
    <d v="2021-12-02T00:00:00"/>
    <n v="192"/>
    <x v="1"/>
    <s v="Kolkata"/>
    <s v="Word"/>
    <n v="18"/>
    <s v="Rajath"/>
  </r>
  <r>
    <s v="AMTZ205"/>
    <s v="Customer V"/>
    <d v="2021-12-02T00:00:00"/>
    <n v="207"/>
    <x v="1"/>
    <s v="Kolkata"/>
    <s v="Word"/>
    <n v="18"/>
    <s v="Rajath"/>
  </r>
  <r>
    <s v="AMTZ220"/>
    <s v="Customer V"/>
    <d v="2021-12-02T00:00:00"/>
    <n v="222"/>
    <x v="1"/>
    <s v="Kolkata"/>
    <s v="Word"/>
    <n v="18"/>
    <s v="Rajath"/>
  </r>
  <r>
    <s v="AMTZ6"/>
    <s v="Customer W"/>
    <d v="2021-12-06T00:00:00"/>
    <n v="7"/>
    <x v="5"/>
    <s v="New Delhi"/>
    <s v="Office 365"/>
    <n v="25"/>
    <s v="Rajath"/>
  </r>
  <r>
    <s v="AMTZ143"/>
    <s v="Customer W"/>
    <d v="2021-12-06T00:00:00"/>
    <n v="146"/>
    <x v="1"/>
    <s v="Chennai"/>
    <s v="Office 365"/>
    <n v="25"/>
    <s v="Raman"/>
  </r>
  <r>
    <s v="AMTZ159"/>
    <s v="Customer W"/>
    <d v="2021-12-06T00:00:00"/>
    <n v="161"/>
    <x v="1"/>
    <s v="Chennai"/>
    <s v="Office 365"/>
    <n v="25"/>
    <s v="Raman"/>
  </r>
  <r>
    <s v="AMTZ174"/>
    <s v="Customer W"/>
    <d v="2021-12-06T00:00:00"/>
    <n v="176"/>
    <x v="1"/>
    <s v="Chennai"/>
    <s v="Office 365"/>
    <n v="25"/>
    <s v="Raman"/>
  </r>
  <r>
    <s v="AMTZ189"/>
    <s v="Customer W"/>
    <d v="2021-12-06T00:00:00"/>
    <n v="191"/>
    <x v="1"/>
    <s v="Chennai"/>
    <s v="Office 365"/>
    <n v="25"/>
    <s v="Raman"/>
  </r>
  <r>
    <s v="AMTZ204"/>
    <s v="Customer W"/>
    <d v="2021-12-06T00:00:00"/>
    <n v="206"/>
    <x v="1"/>
    <s v="Chennai"/>
    <s v="Office 365"/>
    <n v="25"/>
    <s v="Raman"/>
  </r>
  <r>
    <s v="AMTZ219"/>
    <s v="Customer W"/>
    <d v="2021-12-06T00:00:00"/>
    <n v="221"/>
    <x v="1"/>
    <s v="Chennai"/>
    <s v="Office 365"/>
    <n v="25"/>
    <s v="Raman"/>
  </r>
  <r>
    <s v="AMTZ5"/>
    <s v="Customer W"/>
    <d v="2021-12-15T00:00:00"/>
    <n v="6"/>
    <x v="1"/>
    <s v="New Delhi"/>
    <s v="Outlook"/>
    <n v="18"/>
    <s v="Rajath"/>
  </r>
  <r>
    <s v="AMTZ142"/>
    <s v="Customer W"/>
    <d v="2021-12-15T00:00:00"/>
    <n v="145"/>
    <x v="1"/>
    <s v="New Delhi"/>
    <s v="Outlook"/>
    <n v="18"/>
    <s v="Rajath"/>
  </r>
  <r>
    <s v="AMTZ158"/>
    <s v="Customer W"/>
    <d v="2021-12-15T00:00:00"/>
    <n v="160"/>
    <x v="1"/>
    <s v="New Delhi"/>
    <s v="Outlook"/>
    <n v="18"/>
    <s v="Rajath"/>
  </r>
  <r>
    <s v="AMTZ173"/>
    <s v="Customer W"/>
    <d v="2021-12-15T00:00:00"/>
    <n v="175"/>
    <x v="1"/>
    <s v="New Delhi"/>
    <s v="Outlook"/>
    <n v="18"/>
    <s v="Rajath"/>
  </r>
  <r>
    <s v="AMTZ188"/>
    <s v="Customer W"/>
    <d v="2021-12-15T00:00:00"/>
    <n v="190"/>
    <x v="1"/>
    <s v="New Delhi"/>
    <s v="Outlook"/>
    <n v="18"/>
    <s v="Rajath"/>
  </r>
  <r>
    <s v="AMTZ203"/>
    <s v="Customer W"/>
    <d v="2021-12-15T00:00:00"/>
    <n v="205"/>
    <x v="1"/>
    <s v="New Delhi"/>
    <s v="Outlook"/>
    <n v="18"/>
    <s v="Rajath"/>
  </r>
  <r>
    <s v="AMTZ218"/>
    <s v="Customer W"/>
    <d v="2021-12-15T00:00:00"/>
    <n v="220"/>
    <x v="1"/>
    <s v="New Delhi"/>
    <s v="Outlook"/>
    <n v="18"/>
    <s v="Rajath"/>
  </r>
  <r>
    <s v="AMTZ4"/>
    <s v="Customer X"/>
    <d v="2021-12-18T00:00:00"/>
    <n v="4"/>
    <x v="6"/>
    <s v="New Delhi"/>
    <s v="PowerBI"/>
    <n v="22"/>
    <s v="Rajath"/>
  </r>
  <r>
    <s v="AMTZ140"/>
    <s v="Customer X"/>
    <d v="2021-12-18T00:00:00"/>
    <n v="143"/>
    <x v="1"/>
    <s v="Nagpur"/>
    <s v="PowerBI"/>
    <n v="22"/>
    <s v="Amar"/>
  </r>
  <r>
    <s v="AMTZ2"/>
    <s v="Customer Y"/>
    <d v="2021-12-25T00:00:00"/>
    <n v="2"/>
    <x v="1"/>
    <s v="New Delhi"/>
    <s v="Power"/>
    <n v="9"/>
    <s v="Rajath"/>
  </r>
  <r>
    <s v="AMTZ3"/>
    <s v="Customer Y"/>
    <d v="2021-12-25T00:00:00"/>
    <n v="3"/>
    <x v="4"/>
    <s v="Bengaluru"/>
    <s v="Excel"/>
    <n v="39"/>
    <s v="Raman"/>
  </r>
  <r>
    <s v="AMTZ138"/>
    <s v="Customer Y"/>
    <d v="2021-12-25T00:00:00"/>
    <n v="141"/>
    <x v="1"/>
    <s v="New Delhi"/>
    <s v="Power"/>
    <n v="9"/>
    <s v="Rajath"/>
  </r>
  <r>
    <s v="AMTZ139"/>
    <s v="Customer Y"/>
    <d v="2021-12-25T00:00:00"/>
    <n v="142"/>
    <x v="1"/>
    <s v="Bengaluru"/>
    <s v="Excel"/>
    <n v="39"/>
    <s v="Raman"/>
  </r>
  <r>
    <s v="AMTZ1"/>
    <s v="Customer Z"/>
    <d v="2021-12-30T00:00:00"/>
    <n v="1"/>
    <x v="1"/>
    <s v="New Delhi"/>
    <s v="Excel"/>
    <e v="#DIV/0!"/>
    <s v="Rajath"/>
  </r>
  <r>
    <s v="AMTZ137"/>
    <s v="Customer Z"/>
    <d v="2021-12-30T00:00:00"/>
    <n v="140"/>
    <x v="1"/>
    <s v="Kolkata"/>
    <s v="Word"/>
    <n v="19"/>
    <s v="Rajath"/>
  </r>
  <r>
    <s v="AMTZ139"/>
    <s v="Vijay Perepa"/>
    <d v="2021-12-25T00:00:00"/>
    <n v="142"/>
    <x v="7"/>
    <s v="Bengaluru"/>
    <s v="Excel"/>
    <n v="39"/>
    <s v="Raman"/>
  </r>
  <r>
    <s v="AMTZ1"/>
    <s v="Vijay Perepa"/>
    <d v="2021-12-30T00:00:00"/>
    <n v="1"/>
    <x v="8"/>
    <s v="New Delhi"/>
    <s v="Excel"/>
    <e v="#DIV/0!"/>
    <s v="Rajath"/>
  </r>
  <r>
    <s v="AMTZ137"/>
    <s v="Vijay Perepa"/>
    <d v="2021-12-30T00:00:00"/>
    <n v="140"/>
    <x v="9"/>
    <s v="Kolkata"/>
    <s v="Word"/>
    <n v="19"/>
    <s v="Rajath"/>
  </r>
  <r>
    <s v="AMTZ140"/>
    <s v="Vijay ;ashdf;aghs;dfkl"/>
    <d v="2021-12-18T00:00:00"/>
    <n v="143"/>
    <x v="7"/>
    <s v="Nagpur"/>
    <s v="PowerBI"/>
    <n v="22"/>
    <s v="Amar"/>
  </r>
  <r>
    <s v="AMTZ2"/>
    <s v="Customer Y"/>
    <d v="2021-12-25T00:00:00"/>
    <n v="2"/>
    <x v="9"/>
    <s v="New Delhi"/>
    <s v="Power"/>
    <n v="9"/>
    <s v="Rajath"/>
  </r>
  <r>
    <s v="AMTZ3"/>
    <s v="Customer Y"/>
    <d v="2021-12-25T00:00:00"/>
    <n v="3"/>
    <x v="4"/>
    <s v="Bengaluru"/>
    <s v="Excel"/>
    <n v="39"/>
    <s v="Raman"/>
  </r>
  <r>
    <s v="AMTZ138"/>
    <s v="Customer Y"/>
    <d v="2021-12-25T00:00:00"/>
    <n v="141"/>
    <x v="1"/>
    <s v="New Delhi"/>
    <s v="Power"/>
    <n v="9"/>
    <s v="Rajath"/>
  </r>
  <r>
    <s v="AMTZ139"/>
    <s v="Customer Y"/>
    <d v="2021-12-25T00:00:00"/>
    <n v="142"/>
    <x v="10"/>
    <s v="Bengaluru"/>
    <s v="Excel"/>
    <e v="#DIV/0!"/>
    <s v="Ram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92F57-4B5A-4432-AEFB-F806F448971E}" name="Top 5 Customers" cacheId="2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>
  <location ref="B2:B71" firstHeaderRow="1" firstDataRow="1" firstDataCol="1"/>
  <pivotFields count="9">
    <pivotField showAll="0"/>
    <pivotField axis="axisRow" showAll="0">
      <items count="69">
        <item x="66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64"/>
        <item x="4"/>
        <item x="3"/>
        <item x="2"/>
        <item x="1"/>
        <item x="0"/>
        <item x="67"/>
        <item x="65"/>
        <item t="default"/>
      </items>
    </pivotField>
    <pivotField numFmtId="165" showAll="0"/>
    <pivotField showAll="0"/>
    <pivotField showAll="0"/>
    <pivotField showAll="0"/>
    <pivotField showAll="0"/>
    <pivotField numFmtId="1" showAll="0"/>
    <pivotField showAll="0"/>
  </pivotFields>
  <rowFields count="1">
    <field x="1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B8954-2581-413E-971C-8030472100BF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5" firstHeaderRow="1" firstDataRow="1" firstDataCol="1"/>
  <pivotFields count="9">
    <pivotField showAll="0"/>
    <pivotField showAll="0"/>
    <pivotField numFmtId="165" showAll="0"/>
    <pivotField showAll="0"/>
    <pivotField axis="axisRow" showAll="0">
      <items count="12">
        <item x="8"/>
        <item x="5"/>
        <item x="6"/>
        <item x="7"/>
        <item x="4"/>
        <item x="0"/>
        <item x="10"/>
        <item x="1"/>
        <item x="9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1DB6C-18F2-4C9F-8EB5-84FCDB17E029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5" firstHeaderRow="1" firstDataRow="1" firstDataCol="1"/>
  <pivotFields count="9">
    <pivotField showAll="0"/>
    <pivotField showAll="0"/>
    <pivotField numFmtId="165" showAll="0"/>
    <pivotField showAll="0"/>
    <pivotField axis="axisRow" showAll="0">
      <items count="12">
        <item x="8"/>
        <item x="5"/>
        <item x="6"/>
        <item x="7"/>
        <item x="4"/>
        <item x="0"/>
        <item x="10"/>
        <item x="1"/>
        <item x="9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48992-F433-4240-9AE5-4B7F71ECDBF4}" name="Revenue" displayName="Revenue" ref="A1:I802" totalsRowShown="0" headerRowDxfId="10" dataDxfId="9">
  <autoFilter ref="A1:I802" xr:uid="{9F648992-F433-4240-9AE5-4B7F71ECDBF4}"/>
  <sortState xmlns:xlrd2="http://schemas.microsoft.com/office/spreadsheetml/2017/richdata2" ref="A2:I540">
    <sortCondition ref="C2:C540"/>
  </sortState>
  <tableColumns count="9">
    <tableColumn id="1" xr3:uid="{01F00A9F-4BF0-4DCA-893B-13716DA39E40}" name="Registration No." dataDxfId="8"/>
    <tableColumn id="2" xr3:uid="{B8F40C98-92FB-4B13-A4DF-38D62EB84753}" name="Customer" dataDxfId="7"/>
    <tableColumn id="3" xr3:uid="{AECE1E20-9AF4-4204-888D-107192CF2FCA}" name="DOJ" dataDxfId="6"/>
    <tableColumn id="4" xr3:uid="{D5EA6E4E-B707-47E5-82EC-6474F664D58E}" name="Stundent Name" dataDxfId="5"/>
    <tableColumn id="5" xr3:uid="{BB85496C-BFDC-4489-89D1-963FE926A623}" name="Department" dataDxfId="4"/>
    <tableColumn id="6" xr3:uid="{AEC16184-6D54-4C21-ACEC-4380E0D67D09}" name="City" dataDxfId="3"/>
    <tableColumn id="7" xr3:uid="{CE1A9C0D-AC62-419C-A735-8754B3ACBE30}" name="Application" dataDxfId="2"/>
    <tableColumn id="8" xr3:uid="{6A99ED37-86C7-4E39-9335-F7BA7C174247}" name="Duration" dataDxfId="1"/>
    <tableColumn id="9" xr3:uid="{1794087E-CDC6-4247-A990-09DD445D7956}" name="Sales Rep" dataDxfId="0">
      <calculatedColumnFormula>IF(OR(Revenue[[#This Row],[City]]="Kolkata",Revenue[[#This Row],[City]]="New Delhi" ),"Rajath",
IF(OR(Revenue[[#This Row],[City]]="Bengaluru",Revenue[[#This Row],[City]]="Chennai" ),"Raman",
"Amar"))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46B5C-E3F2-4386-AA30-0361B34A9A85}" name="Sales" displayName="Sales" ref="L8:N16" totalsRowShown="0">
  <autoFilter ref="L8:N16" xr:uid="{EA246B5C-E3F2-4386-AA30-0361B34A9A85}"/>
  <tableColumns count="3">
    <tableColumn id="1" xr3:uid="{BC023589-FDEF-4CBD-AAF6-FA859D5EEC75}" name="Column1"/>
    <tableColumn id="2" xr3:uid="{B920D048-E61E-4513-9829-5D0FB896FF8E}" name="Column2"/>
    <tableColumn id="3" xr3:uid="{269CD5BC-C147-4394-8FF5-1BFDB7EEBD8A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CF8C-59AE-48EB-BB60-2D9DE9DB9579}">
  <sheetPr codeName="Sheet9"/>
  <dimension ref="B2:B71"/>
  <sheetViews>
    <sheetView workbookViewId="0">
      <selection sqref="A1:A1048576"/>
    </sheetView>
  </sheetViews>
  <sheetFormatPr defaultRowHeight="14.4"/>
  <cols>
    <col min="2" max="2" width="14.6640625" bestFit="1" customWidth="1"/>
  </cols>
  <sheetData>
    <row r="2" spans="2:2">
      <c r="B2" s="8" t="s">
        <v>351</v>
      </c>
    </row>
    <row r="3" spans="2:2">
      <c r="B3" s="1" t="s">
        <v>348</v>
      </c>
    </row>
    <row r="4" spans="2:2">
      <c r="B4" s="1" t="s">
        <v>88</v>
      </c>
    </row>
    <row r="5" spans="2:2">
      <c r="B5" s="1" t="s">
        <v>87</v>
      </c>
    </row>
    <row r="6" spans="2:2">
      <c r="B6" s="1" t="s">
        <v>86</v>
      </c>
    </row>
    <row r="7" spans="2:2">
      <c r="B7" s="1" t="s">
        <v>85</v>
      </c>
    </row>
    <row r="8" spans="2:2">
      <c r="B8" s="1" t="s">
        <v>84</v>
      </c>
    </row>
    <row r="9" spans="2:2">
      <c r="B9" s="1" t="s">
        <v>83</v>
      </c>
    </row>
    <row r="10" spans="2:2">
      <c r="B10" s="1" t="s">
        <v>82</v>
      </c>
    </row>
    <row r="11" spans="2:2">
      <c r="B11" s="1" t="s">
        <v>81</v>
      </c>
    </row>
    <row r="12" spans="2:2">
      <c r="B12" s="1" t="s">
        <v>80</v>
      </c>
    </row>
    <row r="13" spans="2:2">
      <c r="B13" s="1" t="s">
        <v>79</v>
      </c>
    </row>
    <row r="14" spans="2:2">
      <c r="B14" s="1" t="s">
        <v>78</v>
      </c>
    </row>
    <row r="15" spans="2:2">
      <c r="B15" s="1" t="s">
        <v>77</v>
      </c>
    </row>
    <row r="16" spans="2:2">
      <c r="B16" s="1" t="s">
        <v>76</v>
      </c>
    </row>
    <row r="17" spans="2:2">
      <c r="B17" s="1" t="s">
        <v>75</v>
      </c>
    </row>
    <row r="18" spans="2:2">
      <c r="B18" s="1" t="s">
        <v>74</v>
      </c>
    </row>
    <row r="19" spans="2:2">
      <c r="B19" s="1" t="s">
        <v>73</v>
      </c>
    </row>
    <row r="20" spans="2:2">
      <c r="B20" s="1" t="s">
        <v>72</v>
      </c>
    </row>
    <row r="21" spans="2:2">
      <c r="B21" s="1" t="s">
        <v>71</v>
      </c>
    </row>
    <row r="22" spans="2:2">
      <c r="B22" s="1" t="s">
        <v>70</v>
      </c>
    </row>
    <row r="23" spans="2:2">
      <c r="B23" s="1" t="s">
        <v>69</v>
      </c>
    </row>
    <row r="24" spans="2:2">
      <c r="B24" s="1" t="s">
        <v>68</v>
      </c>
    </row>
    <row r="25" spans="2:2">
      <c r="B25" s="1" t="s">
        <v>67</v>
      </c>
    </row>
    <row r="26" spans="2:2">
      <c r="B26" s="1" t="s">
        <v>66</v>
      </c>
    </row>
    <row r="27" spans="2:2">
      <c r="B27" s="1" t="s">
        <v>65</v>
      </c>
    </row>
    <row r="28" spans="2:2">
      <c r="B28" s="1" t="s">
        <v>64</v>
      </c>
    </row>
    <row r="29" spans="2:2">
      <c r="B29" s="1" t="s">
        <v>63</v>
      </c>
    </row>
    <row r="30" spans="2:2">
      <c r="B30" s="1" t="s">
        <v>62</v>
      </c>
    </row>
    <row r="31" spans="2:2">
      <c r="B31" s="1" t="s">
        <v>61</v>
      </c>
    </row>
    <row r="32" spans="2:2">
      <c r="B32" s="1" t="s">
        <v>60</v>
      </c>
    </row>
    <row r="33" spans="2:2">
      <c r="B33" s="1" t="s">
        <v>59</v>
      </c>
    </row>
    <row r="34" spans="2:2">
      <c r="B34" s="1" t="s">
        <v>58</v>
      </c>
    </row>
    <row r="35" spans="2:2">
      <c r="B35" s="1" t="s">
        <v>57</v>
      </c>
    </row>
    <row r="36" spans="2:2">
      <c r="B36" s="1" t="s">
        <v>56</v>
      </c>
    </row>
    <row r="37" spans="2:2">
      <c r="B37" s="1" t="s">
        <v>55</v>
      </c>
    </row>
    <row r="38" spans="2:2">
      <c r="B38" s="1" t="s">
        <v>54</v>
      </c>
    </row>
    <row r="39" spans="2:2">
      <c r="B39" s="1" t="s">
        <v>53</v>
      </c>
    </row>
    <row r="40" spans="2:2">
      <c r="B40" s="1" t="s">
        <v>52</v>
      </c>
    </row>
    <row r="41" spans="2:2">
      <c r="B41" s="1" t="s">
        <v>51</v>
      </c>
    </row>
    <row r="42" spans="2:2">
      <c r="B42" s="1" t="s">
        <v>50</v>
      </c>
    </row>
    <row r="43" spans="2:2">
      <c r="B43" s="1" t="s">
        <v>49</v>
      </c>
    </row>
    <row r="44" spans="2:2">
      <c r="B44" s="1" t="s">
        <v>48</v>
      </c>
    </row>
    <row r="45" spans="2:2">
      <c r="B45" s="1" t="s">
        <v>47</v>
      </c>
    </row>
    <row r="46" spans="2:2">
      <c r="B46" s="1" t="s">
        <v>46</v>
      </c>
    </row>
    <row r="47" spans="2:2">
      <c r="B47" s="1" t="s">
        <v>45</v>
      </c>
    </row>
    <row r="48" spans="2:2">
      <c r="B48" s="1" t="s">
        <v>44</v>
      </c>
    </row>
    <row r="49" spans="2:2">
      <c r="B49" s="1" t="s">
        <v>43</v>
      </c>
    </row>
    <row r="50" spans="2:2">
      <c r="B50" s="1" t="s">
        <v>42</v>
      </c>
    </row>
    <row r="51" spans="2:2">
      <c r="B51" s="1" t="s">
        <v>41</v>
      </c>
    </row>
    <row r="52" spans="2:2">
      <c r="B52" s="1" t="s">
        <v>39</v>
      </c>
    </row>
    <row r="53" spans="2:2">
      <c r="B53" s="1" t="s">
        <v>38</v>
      </c>
    </row>
    <row r="54" spans="2:2">
      <c r="B54" s="1" t="s">
        <v>37</v>
      </c>
    </row>
    <row r="55" spans="2:2">
      <c r="B55" s="1" t="s">
        <v>36</v>
      </c>
    </row>
    <row r="56" spans="2:2">
      <c r="B56" s="1" t="s">
        <v>35</v>
      </c>
    </row>
    <row r="57" spans="2:2">
      <c r="B57" s="1" t="s">
        <v>34</v>
      </c>
    </row>
    <row r="58" spans="2:2">
      <c r="B58" s="1" t="s">
        <v>32</v>
      </c>
    </row>
    <row r="59" spans="2:2">
      <c r="B59" s="1" t="s">
        <v>31</v>
      </c>
    </row>
    <row r="60" spans="2:2">
      <c r="B60" s="1" t="s">
        <v>29</v>
      </c>
    </row>
    <row r="61" spans="2:2">
      <c r="B61" s="1" t="s">
        <v>28</v>
      </c>
    </row>
    <row r="62" spans="2:2">
      <c r="B62" s="1" t="s">
        <v>27</v>
      </c>
    </row>
    <row r="63" spans="2:2">
      <c r="B63" s="1" t="s">
        <v>89</v>
      </c>
    </row>
    <row r="64" spans="2:2">
      <c r="B64" s="1" t="s">
        <v>26</v>
      </c>
    </row>
    <row r="65" spans="2:2">
      <c r="B65" s="1" t="s">
        <v>22</v>
      </c>
    </row>
    <row r="66" spans="2:2">
      <c r="B66" s="1" t="s">
        <v>17</v>
      </c>
    </row>
    <row r="67" spans="2:2">
      <c r="B67" s="1" t="s">
        <v>12</v>
      </c>
    </row>
    <row r="68" spans="2:2">
      <c r="B68" s="1" t="s">
        <v>8</v>
      </c>
    </row>
    <row r="69" spans="2:2">
      <c r="B69" s="1" t="s">
        <v>350</v>
      </c>
    </row>
    <row r="70" spans="2:2">
      <c r="B70" s="1" t="s">
        <v>265</v>
      </c>
    </row>
    <row r="71" spans="2:2">
      <c r="B71" s="1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1D98-2ED2-47D9-941F-2216E00E04E1}">
  <dimension ref="A3:A15"/>
  <sheetViews>
    <sheetView zoomScale="170" zoomScaleNormal="170" workbookViewId="0">
      <selection sqref="A1:A1048576"/>
    </sheetView>
  </sheetViews>
  <sheetFormatPr defaultRowHeight="14.4"/>
  <cols>
    <col min="1" max="1" width="13.109375" bestFit="1" customWidth="1"/>
  </cols>
  <sheetData>
    <row r="3" spans="1:1">
      <c r="A3" s="8" t="s">
        <v>351</v>
      </c>
    </row>
    <row r="4" spans="1:1">
      <c r="A4" s="1" t="s">
        <v>387</v>
      </c>
    </row>
    <row r="5" spans="1:1">
      <c r="A5" s="1" t="s">
        <v>385</v>
      </c>
    </row>
    <row r="6" spans="1:1">
      <c r="A6" s="1" t="s">
        <v>384</v>
      </c>
    </row>
    <row r="7" spans="1:1">
      <c r="A7" s="1" t="s">
        <v>386</v>
      </c>
    </row>
    <row r="8" spans="1:1">
      <c r="A8" s="1" t="s">
        <v>383</v>
      </c>
    </row>
    <row r="9" spans="1:1">
      <c r="A9" s="1" t="s">
        <v>40</v>
      </c>
    </row>
    <row r="10" spans="1:1">
      <c r="A10" s="1" t="s">
        <v>389</v>
      </c>
    </row>
    <row r="11" spans="1:1">
      <c r="A11" s="1" t="s">
        <v>9</v>
      </c>
    </row>
    <row r="12" spans="1:1">
      <c r="A12" s="1" t="s">
        <v>388</v>
      </c>
    </row>
    <row r="13" spans="1:1">
      <c r="A13" s="1" t="s">
        <v>33</v>
      </c>
    </row>
    <row r="14" spans="1:1">
      <c r="A14" s="1" t="s">
        <v>391</v>
      </c>
    </row>
    <row r="15" spans="1:1">
      <c r="A15" s="1" t="s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B554-825C-4FD4-8A3C-9CCA3EC93E04}">
  <dimension ref="A3:C15"/>
  <sheetViews>
    <sheetView zoomScale="170" zoomScaleNormal="170" workbookViewId="0">
      <selection activeCell="A4" sqref="A4:A14"/>
      <pivotSelection pane="bottomRight" showHeader="1" axis="axisRow" activeRow="3" previousRow="3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4"/>
  <cols>
    <col min="1" max="1" width="13.109375" bestFit="1" customWidth="1"/>
  </cols>
  <sheetData>
    <row r="3" spans="1:3">
      <c r="A3" s="8" t="s">
        <v>351</v>
      </c>
    </row>
    <row r="4" spans="1:3">
      <c r="A4" s="1" t="s">
        <v>387</v>
      </c>
      <c r="C4">
        <f>LEN(A4)</f>
        <v>16</v>
      </c>
    </row>
    <row r="5" spans="1:3">
      <c r="A5" s="1" t="s">
        <v>385</v>
      </c>
      <c r="C5">
        <f t="shared" ref="C5:C13" si="0">LEN(A5)</f>
        <v>18</v>
      </c>
    </row>
    <row r="6" spans="1:3">
      <c r="A6" s="1" t="s">
        <v>384</v>
      </c>
      <c r="C6">
        <f t="shared" si="0"/>
        <v>8</v>
      </c>
    </row>
    <row r="7" spans="1:3">
      <c r="A7" s="1" t="s">
        <v>386</v>
      </c>
      <c r="C7">
        <f t="shared" si="0"/>
        <v>10</v>
      </c>
    </row>
    <row r="8" spans="1:3">
      <c r="A8" s="1" t="s">
        <v>383</v>
      </c>
      <c r="C8">
        <f t="shared" si="0"/>
        <v>13</v>
      </c>
    </row>
    <row r="9" spans="1:3">
      <c r="A9" s="1" t="s">
        <v>40</v>
      </c>
      <c r="C9">
        <f t="shared" si="0"/>
        <v>5</v>
      </c>
    </row>
    <row r="10" spans="1:3">
      <c r="A10" s="1" t="s">
        <v>389</v>
      </c>
      <c r="C10">
        <f t="shared" si="0"/>
        <v>9</v>
      </c>
    </row>
    <row r="11" spans="1:3">
      <c r="A11" s="1" t="s">
        <v>9</v>
      </c>
      <c r="C11">
        <f t="shared" si="0"/>
        <v>7</v>
      </c>
    </row>
    <row r="12" spans="1:3">
      <c r="A12" s="1" t="s">
        <v>388</v>
      </c>
      <c r="C12">
        <f t="shared" si="0"/>
        <v>17</v>
      </c>
    </row>
    <row r="13" spans="1:3">
      <c r="A13" s="1" t="s">
        <v>33</v>
      </c>
      <c r="C13">
        <f t="shared" si="0"/>
        <v>2</v>
      </c>
    </row>
    <row r="14" spans="1:3">
      <c r="A14" s="1" t="s">
        <v>391</v>
      </c>
    </row>
    <row r="15" spans="1:3">
      <c r="A15" s="1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154F-C08E-4FBD-9290-50F852DDCD61}">
  <sheetPr codeName="Sheet2"/>
  <dimension ref="A1:P802"/>
  <sheetViews>
    <sheetView tabSelected="1" topLeftCell="A794" zoomScale="150" zoomScaleNormal="150" workbookViewId="0">
      <selection activeCell="A802" sqref="A802:I802"/>
    </sheetView>
  </sheetViews>
  <sheetFormatPr defaultRowHeight="14.4"/>
  <cols>
    <col min="1" max="1" width="17.44140625" customWidth="1"/>
    <col min="2" max="2" width="20.109375" bestFit="1" customWidth="1"/>
    <col min="3" max="3" width="30.44140625" bestFit="1" customWidth="1"/>
    <col min="4" max="4" width="17" customWidth="1"/>
    <col min="5" max="5" width="13.88671875" customWidth="1"/>
    <col min="6" max="6" width="10.5546875" bestFit="1" customWidth="1"/>
    <col min="7" max="7" width="13.33203125" customWidth="1"/>
    <col min="8" max="8" width="10.88671875" customWidth="1"/>
    <col min="13" max="13" width="55.88671875" bestFit="1" customWidth="1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341</v>
      </c>
    </row>
    <row r="2" spans="1:16">
      <c r="A2" s="2" t="s">
        <v>217</v>
      </c>
      <c r="B2" s="2" t="s">
        <v>88</v>
      </c>
      <c r="C2" s="3">
        <v>42742</v>
      </c>
      <c r="D2" s="5">
        <v>130</v>
      </c>
      <c r="E2" s="2" t="s">
        <v>40</v>
      </c>
      <c r="F2" s="2" t="s">
        <v>24</v>
      </c>
      <c r="G2" s="2" t="s">
        <v>19</v>
      </c>
      <c r="H2" s="4">
        <v>26</v>
      </c>
      <c r="I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" spans="1:16">
      <c r="A3" s="2" t="s">
        <v>217</v>
      </c>
      <c r="B3" s="2" t="s">
        <v>88</v>
      </c>
      <c r="C3" s="3">
        <v>42742</v>
      </c>
      <c r="D3" s="5">
        <v>131</v>
      </c>
      <c r="E3" s="2" t="s">
        <v>40</v>
      </c>
      <c r="F3" s="2" t="s">
        <v>24</v>
      </c>
      <c r="G3" s="2" t="s">
        <v>19</v>
      </c>
      <c r="H3" s="4">
        <v>26</v>
      </c>
      <c r="I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" spans="1:16">
      <c r="A4" s="2" t="s">
        <v>89</v>
      </c>
      <c r="B4" s="2" t="s">
        <v>89</v>
      </c>
      <c r="C4" s="3">
        <v>42742</v>
      </c>
      <c r="D4" s="5">
        <v>132</v>
      </c>
      <c r="E4" s="2" t="s">
        <v>40</v>
      </c>
      <c r="F4" s="2" t="s">
        <v>24</v>
      </c>
      <c r="G4" s="2" t="s">
        <v>19</v>
      </c>
      <c r="H4" s="4">
        <v>26</v>
      </c>
      <c r="I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" spans="1:16">
      <c r="A5" s="2" t="s">
        <v>224</v>
      </c>
      <c r="B5" s="2" t="s">
        <v>88</v>
      </c>
      <c r="C5" s="3">
        <v>42742</v>
      </c>
      <c r="D5" s="5">
        <v>130</v>
      </c>
      <c r="E5" s="2" t="s">
        <v>40</v>
      </c>
      <c r="F5" s="2" t="s">
        <v>24</v>
      </c>
      <c r="G5" s="2" t="s">
        <v>19</v>
      </c>
      <c r="H5" s="4">
        <v>26</v>
      </c>
      <c r="I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" spans="1:16">
      <c r="A6" s="2" t="s">
        <v>225</v>
      </c>
      <c r="B6" s="2" t="s">
        <v>88</v>
      </c>
      <c r="C6" s="3">
        <v>42742</v>
      </c>
      <c r="D6" s="5">
        <v>131</v>
      </c>
      <c r="E6" s="2" t="s">
        <v>40</v>
      </c>
      <c r="F6" s="2" t="s">
        <v>24</v>
      </c>
      <c r="G6" s="2" t="s">
        <v>19</v>
      </c>
      <c r="H6" s="4">
        <v>26</v>
      </c>
      <c r="I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" spans="1:16">
      <c r="A7" s="2" t="s">
        <v>216</v>
      </c>
      <c r="B7" s="2" t="s">
        <v>88</v>
      </c>
      <c r="C7" s="3">
        <v>42745</v>
      </c>
      <c r="D7" s="5">
        <v>129</v>
      </c>
      <c r="E7" s="2" t="s">
        <v>40</v>
      </c>
      <c r="F7" s="2" t="s">
        <v>20</v>
      </c>
      <c r="G7" s="2" t="s">
        <v>16</v>
      </c>
      <c r="H7" s="4">
        <v>26</v>
      </c>
      <c r="I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8" spans="1:16">
      <c r="A8" s="2" t="s">
        <v>223</v>
      </c>
      <c r="B8" s="2" t="s">
        <v>88</v>
      </c>
      <c r="C8" s="3">
        <v>42745</v>
      </c>
      <c r="D8" s="5">
        <v>129</v>
      </c>
      <c r="E8" s="2" t="s">
        <v>40</v>
      </c>
      <c r="F8" s="2" t="s">
        <v>20</v>
      </c>
      <c r="G8" s="2" t="s">
        <v>16</v>
      </c>
      <c r="H8" s="4">
        <v>26</v>
      </c>
      <c r="I8" s="2" t="str">
        <f>IF(OR(Revenue[[#This Row],[City]]="Kolkata",Revenue[[#This Row],[City]]="New Delhi" ),"Rajath",
IF(OR(Revenue[[#This Row],[City]]="Bengaluru",Revenue[[#This Row],[City]]="Chennai" ),"Raman",
"Amar"))</f>
        <v>Amar</v>
      </c>
      <c r="K8" t="str" cm="1">
        <f t="array" aca="1" ref="K8" ca="1">CELL("filename")</f>
        <v>C:\Users\VijayPerepa\Downloads\[PowerBi Dashboard (1).xlsx]Revenue Data</v>
      </c>
    </row>
    <row r="9" spans="1:16">
      <c r="A9" s="2" t="s">
        <v>214</v>
      </c>
      <c r="B9" s="2" t="s">
        <v>87</v>
      </c>
      <c r="C9" s="3">
        <v>42746</v>
      </c>
      <c r="D9" s="5">
        <v>127</v>
      </c>
      <c r="E9" s="2" t="s">
        <v>40</v>
      </c>
      <c r="F9" s="2" t="s">
        <v>20</v>
      </c>
      <c r="G9" s="2" t="s">
        <v>23</v>
      </c>
      <c r="H9" s="4">
        <v>37</v>
      </c>
      <c r="I9" s="2" t="str">
        <f>IF(OR(Revenue[[#This Row],[City]]="Kolkata",Revenue[[#This Row],[City]]="New Delhi" ),"Rajath",
IF(OR(Revenue[[#This Row],[City]]="Bengaluru",Revenue[[#This Row],[City]]="Chennai" ),"Raman",
"Amar"))</f>
        <v>Amar</v>
      </c>
      <c r="K9" t="s">
        <v>353</v>
      </c>
    </row>
    <row r="10" spans="1:16">
      <c r="A10" s="2" t="s">
        <v>215</v>
      </c>
      <c r="B10" s="2" t="s">
        <v>88</v>
      </c>
      <c r="C10" s="3">
        <v>42746</v>
      </c>
      <c r="D10" s="5">
        <v>128</v>
      </c>
      <c r="E10" s="2" t="s">
        <v>40</v>
      </c>
      <c r="F10" s="2" t="s">
        <v>24</v>
      </c>
      <c r="G10" s="2" t="s">
        <v>25</v>
      </c>
      <c r="H10" s="4">
        <v>8</v>
      </c>
      <c r="I1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1" spans="1:16">
      <c r="A11" s="2" t="s">
        <v>218</v>
      </c>
      <c r="B11" s="2" t="s">
        <v>87</v>
      </c>
      <c r="C11" s="3">
        <v>42746</v>
      </c>
      <c r="D11" s="5">
        <v>133</v>
      </c>
      <c r="E11" s="2" t="s">
        <v>40</v>
      </c>
      <c r="F11" s="2" t="s">
        <v>20</v>
      </c>
      <c r="G11" s="2" t="s">
        <v>23</v>
      </c>
      <c r="H11" s="4">
        <v>37</v>
      </c>
      <c r="I1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2" spans="1:16">
      <c r="A12" s="2" t="s">
        <v>219</v>
      </c>
      <c r="B12" s="2" t="s">
        <v>86</v>
      </c>
      <c r="C12" s="3">
        <v>42746</v>
      </c>
      <c r="D12" s="5">
        <v>134</v>
      </c>
      <c r="E12" s="2" t="s">
        <v>40</v>
      </c>
      <c r="F12" s="2" t="s">
        <v>20</v>
      </c>
      <c r="G12" s="2" t="s">
        <v>23</v>
      </c>
      <c r="H12" s="4">
        <v>100</v>
      </c>
      <c r="I12" s="2" t="str">
        <f>IF(OR(Revenue[[#This Row],[City]]="Kolkata",Revenue[[#This Row],[City]]="New Delhi" ),"Rajath",
IF(OR(Revenue[[#This Row],[City]]="Bengaluru",Revenue[[#This Row],[City]]="Chennai" ),"Raman",
"Amar"))</f>
        <v>Amar</v>
      </c>
      <c r="K12">
        <f>75*30</f>
        <v>2250</v>
      </c>
    </row>
    <row r="13" spans="1:16">
      <c r="A13" s="2" t="s">
        <v>220</v>
      </c>
      <c r="B13" s="2" t="s">
        <v>86</v>
      </c>
      <c r="C13" s="3">
        <v>42746</v>
      </c>
      <c r="D13" s="5">
        <v>135</v>
      </c>
      <c r="E13" s="2" t="s">
        <v>40</v>
      </c>
      <c r="F13" s="2" t="s">
        <v>20</v>
      </c>
      <c r="G13" s="2" t="s">
        <v>23</v>
      </c>
      <c r="H13" s="4">
        <v>100</v>
      </c>
      <c r="I13" s="2" t="str">
        <f>IF(OR(Revenue[[#This Row],[City]]="Kolkata",Revenue[[#This Row],[City]]="New Delhi" ),"Rajath",
IF(OR(Revenue[[#This Row],[City]]="Bengaluru",Revenue[[#This Row],[City]]="Chennai" ),"Raman",
"Amar"))</f>
        <v>Amar</v>
      </c>
      <c r="L13">
        <v>1</v>
      </c>
      <c r="M13" s="9"/>
      <c r="N13" s="9"/>
      <c r="O13" s="9"/>
      <c r="P13" s="9"/>
    </row>
    <row r="14" spans="1:16">
      <c r="A14" s="2" t="s">
        <v>221</v>
      </c>
      <c r="B14" s="2" t="s">
        <v>86</v>
      </c>
      <c r="C14" s="3">
        <v>42746</v>
      </c>
      <c r="D14" s="5">
        <v>136</v>
      </c>
      <c r="E14" s="2" t="s">
        <v>40</v>
      </c>
      <c r="F14" s="2" t="s">
        <v>20</v>
      </c>
      <c r="G14" s="2" t="s">
        <v>23</v>
      </c>
      <c r="H14" s="4">
        <v>37</v>
      </c>
      <c r="I14" s="2" t="str">
        <f>IF(OR(Revenue[[#This Row],[City]]="Kolkata",Revenue[[#This Row],[City]]="New Delhi" ),"Rajath",
IF(OR(Revenue[[#This Row],[City]]="Bengaluru",Revenue[[#This Row],[City]]="Chennai" ),"Raman",
"Amar"))</f>
        <v>Amar</v>
      </c>
      <c r="L14">
        <v>2</v>
      </c>
    </row>
    <row r="15" spans="1:16">
      <c r="A15" s="2" t="s">
        <v>222</v>
      </c>
      <c r="B15" s="2" t="s">
        <v>88</v>
      </c>
      <c r="C15" s="3">
        <v>42746</v>
      </c>
      <c r="D15" s="5">
        <v>128</v>
      </c>
      <c r="E15" s="2" t="s">
        <v>40</v>
      </c>
      <c r="F15" s="2" t="s">
        <v>24</v>
      </c>
      <c r="G15" s="2" t="s">
        <v>25</v>
      </c>
      <c r="H15" s="4">
        <v>8</v>
      </c>
      <c r="I15" s="2" t="str">
        <f>IF(OR(Revenue[[#This Row],[City]]="Kolkata",Revenue[[#This Row],[City]]="New Delhi" ),"Rajath",
IF(OR(Revenue[[#This Row],[City]]="Bengaluru",Revenue[[#This Row],[City]]="Chennai" ),"Raman",
"Amar"))</f>
        <v>Raman</v>
      </c>
      <c r="L15">
        <v>3</v>
      </c>
    </row>
    <row r="16" spans="1:16">
      <c r="A16" s="2" t="s">
        <v>218</v>
      </c>
      <c r="B16" s="2" t="s">
        <v>87</v>
      </c>
      <c r="C16" s="3">
        <v>42746</v>
      </c>
      <c r="D16" s="5">
        <v>132</v>
      </c>
      <c r="E16" s="2" t="s">
        <v>40</v>
      </c>
      <c r="F16" s="2" t="s">
        <v>24</v>
      </c>
      <c r="G16" s="2" t="s">
        <v>25</v>
      </c>
      <c r="H16" s="4">
        <v>8</v>
      </c>
      <c r="I16" s="2" t="str">
        <f>IF(OR(Revenue[[#This Row],[City]]="Kolkata",Revenue[[#This Row],[City]]="New Delhi" ),"Rajath",
IF(OR(Revenue[[#This Row],[City]]="Bengaluru",Revenue[[#This Row],[City]]="Chennai" ),"Raman",
"Amar"))</f>
        <v>Raman</v>
      </c>
      <c r="M16" s="10" t="s">
        <v>355</v>
      </c>
    </row>
    <row r="17" spans="1:13">
      <c r="A17" s="2" t="s">
        <v>218</v>
      </c>
      <c r="B17" s="2" t="s">
        <v>87</v>
      </c>
      <c r="C17" s="3">
        <v>42746</v>
      </c>
      <c r="D17" s="5">
        <v>133</v>
      </c>
      <c r="E17" s="2" t="s">
        <v>40</v>
      </c>
      <c r="F17" s="2" t="s">
        <v>24</v>
      </c>
      <c r="G17" s="2" t="s">
        <v>25</v>
      </c>
      <c r="H17" s="4">
        <v>8</v>
      </c>
      <c r="I17" s="2" t="str">
        <f>IF(OR(Revenue[[#This Row],[City]]="Kolkata",Revenue[[#This Row],[City]]="New Delhi" ),"Rajath",
IF(OR(Revenue[[#This Row],[City]]="Bengaluru",Revenue[[#This Row],[City]]="Chennai" ),"Raman",
"Amar"))</f>
        <v>Raman</v>
      </c>
      <c r="M17" s="10" t="s">
        <v>356</v>
      </c>
    </row>
    <row r="18" spans="1:13">
      <c r="A18" s="2" t="s">
        <v>218</v>
      </c>
      <c r="B18" s="2" t="s">
        <v>87</v>
      </c>
      <c r="C18" s="3">
        <v>42746</v>
      </c>
      <c r="D18" s="5">
        <v>134</v>
      </c>
      <c r="E18" s="2" t="s">
        <v>40</v>
      </c>
      <c r="F18" s="2" t="s">
        <v>24</v>
      </c>
      <c r="G18" s="2" t="s">
        <v>25</v>
      </c>
      <c r="H18" s="4">
        <v>8</v>
      </c>
      <c r="I18" s="2" t="str">
        <f>IF(OR(Revenue[[#This Row],[City]]="Kolkata",Revenue[[#This Row],[City]]="New Delhi" ),"Rajath",
IF(OR(Revenue[[#This Row],[City]]="Bengaluru",Revenue[[#This Row],[City]]="Chennai" ),"Raman",
"Amar"))</f>
        <v>Raman</v>
      </c>
      <c r="M18" s="10" t="s">
        <v>357</v>
      </c>
    </row>
    <row r="19" spans="1:13">
      <c r="A19" s="2" t="s">
        <v>218</v>
      </c>
      <c r="B19" s="2" t="s">
        <v>87</v>
      </c>
      <c r="C19" s="3">
        <v>42746</v>
      </c>
      <c r="D19" s="5">
        <v>135</v>
      </c>
      <c r="E19" s="2" t="s">
        <v>40</v>
      </c>
      <c r="F19" s="2" t="s">
        <v>24</v>
      </c>
      <c r="G19" s="2" t="s">
        <v>25</v>
      </c>
      <c r="H19" s="4">
        <v>8</v>
      </c>
      <c r="I19" s="2" t="str">
        <f>IF(OR(Revenue[[#This Row],[City]]="Kolkata",Revenue[[#This Row],[City]]="New Delhi" ),"Rajath",
IF(OR(Revenue[[#This Row],[City]]="Bengaluru",Revenue[[#This Row],[City]]="Chennai" ),"Raman",
"Amar"))</f>
        <v>Raman</v>
      </c>
      <c r="M19" s="10" t="s">
        <v>358</v>
      </c>
    </row>
    <row r="20" spans="1:13">
      <c r="A20" s="2" t="s">
        <v>218</v>
      </c>
      <c r="B20" s="2" t="s">
        <v>87</v>
      </c>
      <c r="C20" s="3">
        <v>42746</v>
      </c>
      <c r="D20" s="2">
        <v>136</v>
      </c>
      <c r="E20" s="2" t="s">
        <v>40</v>
      </c>
      <c r="F20" s="2" t="s">
        <v>24</v>
      </c>
      <c r="G20" s="2" t="s">
        <v>25</v>
      </c>
      <c r="H20" s="4">
        <v>8</v>
      </c>
      <c r="I20" s="2" t="str">
        <f>IF(OR(Revenue[[#This Row],[City]]="Kolkata",Revenue[[#This Row],[City]]="New Delhi" ),"Rajath",
IF(OR(Revenue[[#This Row],[City]]="Bengaluru",Revenue[[#This Row],[City]]="Chennai" ),"Raman",
"Amar"))</f>
        <v>Raman</v>
      </c>
      <c r="M20" s="10" t="s">
        <v>359</v>
      </c>
    </row>
    <row r="21" spans="1:13">
      <c r="A21" s="2" t="s">
        <v>218</v>
      </c>
      <c r="B21" s="2" t="s">
        <v>87</v>
      </c>
      <c r="C21" s="3">
        <v>42746</v>
      </c>
      <c r="D21" s="2">
        <v>137</v>
      </c>
      <c r="E21" s="2" t="s">
        <v>40</v>
      </c>
      <c r="F21" s="2" t="s">
        <v>24</v>
      </c>
      <c r="G21" s="2" t="s">
        <v>25</v>
      </c>
      <c r="H21" s="4">
        <v>8</v>
      </c>
      <c r="I21" s="2" t="str">
        <f>IF(OR(Revenue[[#This Row],[City]]="Kolkata",Revenue[[#This Row],[City]]="New Delhi" ),"Rajath",
IF(OR(Revenue[[#This Row],[City]]="Bengaluru",Revenue[[#This Row],[City]]="Chennai" ),"Raman",
"Amar"))</f>
        <v>Raman</v>
      </c>
      <c r="M21" s="10" t="s">
        <v>360</v>
      </c>
    </row>
    <row r="22" spans="1:13">
      <c r="A22" s="2" t="s">
        <v>218</v>
      </c>
      <c r="B22" s="2" t="s">
        <v>87</v>
      </c>
      <c r="C22" s="3">
        <v>42746</v>
      </c>
      <c r="D22" s="5">
        <v>138</v>
      </c>
      <c r="E22" s="2" t="s">
        <v>40</v>
      </c>
      <c r="F22" s="2" t="s">
        <v>24</v>
      </c>
      <c r="G22" s="2" t="s">
        <v>25</v>
      </c>
      <c r="H22" s="4">
        <v>8</v>
      </c>
      <c r="I22" s="2" t="str">
        <f>IF(OR(Revenue[[#This Row],[City]]="Kolkata",Revenue[[#This Row],[City]]="New Delhi" ),"Rajath",
IF(OR(Revenue[[#This Row],[City]]="Bengaluru",Revenue[[#This Row],[City]]="Chennai" ),"Raman",
"Amar"))</f>
        <v>Raman</v>
      </c>
      <c r="M22" s="10" t="s">
        <v>361</v>
      </c>
    </row>
    <row r="23" spans="1:13">
      <c r="A23" s="2" t="s">
        <v>219</v>
      </c>
      <c r="B23" s="2" t="s">
        <v>87</v>
      </c>
      <c r="C23" s="3">
        <v>42746</v>
      </c>
      <c r="D23" s="5">
        <v>139</v>
      </c>
      <c r="E23" s="2" t="s">
        <v>40</v>
      </c>
      <c r="F23" s="2" t="s">
        <v>24</v>
      </c>
      <c r="G23" s="2" t="s">
        <v>25</v>
      </c>
      <c r="H23" s="4">
        <v>234</v>
      </c>
      <c r="I23" s="2" t="str">
        <f>IF(OR(Revenue[[#This Row],[City]]="Kolkata",Revenue[[#This Row],[City]]="New Delhi" ),"Rajath",
IF(OR(Revenue[[#This Row],[City]]="Bengaluru",Revenue[[#This Row],[City]]="Chennai" ),"Raman",
"Amar"))</f>
        <v>Raman</v>
      </c>
      <c r="M23" s="10" t="s">
        <v>362</v>
      </c>
    </row>
    <row r="24" spans="1:13">
      <c r="A24" s="2" t="s">
        <v>211</v>
      </c>
      <c r="B24" s="2" t="s">
        <v>86</v>
      </c>
      <c r="C24" s="3">
        <v>42748</v>
      </c>
      <c r="D24" s="5">
        <v>124</v>
      </c>
      <c r="E24" s="2" t="s">
        <v>40</v>
      </c>
      <c r="F24" s="2" t="s">
        <v>13</v>
      </c>
      <c r="G24" s="2" t="s">
        <v>16</v>
      </c>
      <c r="H24" s="4">
        <v>33</v>
      </c>
      <c r="I24" s="2" t="str">
        <f>IF(OR(Revenue[[#This Row],[City]]="Kolkata",Revenue[[#This Row],[City]]="New Delhi" ),"Rajath",
IF(OR(Revenue[[#This Row],[City]]="Bengaluru",Revenue[[#This Row],[City]]="Chennai" ),"Raman",
"Amar"))</f>
        <v>Rajath</v>
      </c>
      <c r="M24" s="10" t="s">
        <v>363</v>
      </c>
    </row>
    <row r="25" spans="1:13">
      <c r="A25" s="2" t="s">
        <v>212</v>
      </c>
      <c r="B25" s="2" t="s">
        <v>86</v>
      </c>
      <c r="C25" s="3">
        <v>42748</v>
      </c>
      <c r="D25" s="5">
        <v>125</v>
      </c>
      <c r="E25" s="2" t="s">
        <v>40</v>
      </c>
      <c r="F25" s="2" t="s">
        <v>15</v>
      </c>
      <c r="G25" s="2" t="s">
        <v>19</v>
      </c>
      <c r="H25" s="4">
        <v>21</v>
      </c>
      <c r="I25" s="2" t="str">
        <f>IF(OR(Revenue[[#This Row],[City]]="Kolkata",Revenue[[#This Row],[City]]="New Delhi" ),"Rajath",
IF(OR(Revenue[[#This Row],[City]]="Bengaluru",Revenue[[#This Row],[City]]="Chennai" ),"Raman",
"Amar"))</f>
        <v>Raman</v>
      </c>
      <c r="M25" s="11" t="s">
        <v>365</v>
      </c>
    </row>
    <row r="26" spans="1:13">
      <c r="A26" s="2" t="s">
        <v>213</v>
      </c>
      <c r="B26" s="2" t="s">
        <v>87</v>
      </c>
      <c r="C26" s="3">
        <v>42748</v>
      </c>
      <c r="D26" s="5">
        <v>126</v>
      </c>
      <c r="E26" s="2" t="s">
        <v>40</v>
      </c>
      <c r="F26" s="2" t="s">
        <v>18</v>
      </c>
      <c r="G26" s="2" t="s">
        <v>21</v>
      </c>
      <c r="H26" s="4">
        <v>25</v>
      </c>
      <c r="I26" s="2" t="str">
        <f>IF(OR(Revenue[[#This Row],[City]]="Kolkata",Revenue[[#This Row],[City]]="New Delhi" ),"Rajath",
IF(OR(Revenue[[#This Row],[City]]="Bengaluru",Revenue[[#This Row],[City]]="Chennai" ),"Raman",
"Amar"))</f>
        <v>Amar</v>
      </c>
      <c r="M26" s="11" t="s">
        <v>366</v>
      </c>
    </row>
    <row r="27" spans="1:13">
      <c r="A27" s="2" t="s">
        <v>210</v>
      </c>
      <c r="B27" s="2" t="s">
        <v>86</v>
      </c>
      <c r="C27" s="3">
        <v>42750</v>
      </c>
      <c r="D27" s="5">
        <v>123</v>
      </c>
      <c r="E27" s="2" t="s">
        <v>40</v>
      </c>
      <c r="F27" s="2" t="s">
        <v>10</v>
      </c>
      <c r="G27" s="2" t="s">
        <v>14</v>
      </c>
      <c r="H27" s="4">
        <v>10</v>
      </c>
      <c r="I27" s="2" t="str">
        <f>IF(OR(Revenue[[#This Row],[City]]="Kolkata",Revenue[[#This Row],[City]]="New Delhi" ),"Rajath",
IF(OR(Revenue[[#This Row],[City]]="Bengaluru",Revenue[[#This Row],[City]]="Chennai" ),"Raman",
"Amar"))</f>
        <v>Rajath</v>
      </c>
      <c r="M27" s="11" t="s">
        <v>367</v>
      </c>
    </row>
    <row r="28" spans="1:13">
      <c r="A28" s="2" t="s">
        <v>209</v>
      </c>
      <c r="B28" s="2" t="s">
        <v>85</v>
      </c>
      <c r="C28" s="3">
        <v>42751</v>
      </c>
      <c r="D28" s="5">
        <v>122</v>
      </c>
      <c r="E28" s="2" t="s">
        <v>40</v>
      </c>
      <c r="F28" s="2" t="s">
        <v>30</v>
      </c>
      <c r="G28" s="2" t="s">
        <v>11</v>
      </c>
      <c r="H28" s="4">
        <v>8</v>
      </c>
      <c r="I28" s="2" t="str">
        <f>IF(OR(Revenue[[#This Row],[City]]="Kolkata",Revenue[[#This Row],[City]]="New Delhi" ),"Rajath",
IF(OR(Revenue[[#This Row],[City]]="Bengaluru",Revenue[[#This Row],[City]]="Chennai" ),"Raman",
"Amar"))</f>
        <v>Amar</v>
      </c>
      <c r="M28" s="10" t="s">
        <v>364</v>
      </c>
    </row>
    <row r="29" spans="1:13">
      <c r="A29" s="2" t="s">
        <v>208</v>
      </c>
      <c r="B29" s="2" t="s">
        <v>85</v>
      </c>
      <c r="C29" s="3">
        <v>42756</v>
      </c>
      <c r="D29" s="5">
        <v>121</v>
      </c>
      <c r="E29" s="2" t="s">
        <v>40</v>
      </c>
      <c r="F29" s="2" t="s">
        <v>24</v>
      </c>
      <c r="G29" s="2" t="s">
        <v>25</v>
      </c>
      <c r="H29" s="4">
        <v>17</v>
      </c>
      <c r="I2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0" spans="1:13">
      <c r="A30" s="2" t="s">
        <v>207</v>
      </c>
      <c r="B30" s="2" t="s">
        <v>84</v>
      </c>
      <c r="C30" s="3">
        <v>42757</v>
      </c>
      <c r="D30" s="5">
        <v>120</v>
      </c>
      <c r="E30" s="2" t="s">
        <v>40</v>
      </c>
      <c r="F30" s="2" t="s">
        <v>20</v>
      </c>
      <c r="G30" s="2" t="s">
        <v>23</v>
      </c>
      <c r="H30" s="4">
        <v>30</v>
      </c>
      <c r="I3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1" spans="1:13">
      <c r="A31" s="2" t="s">
        <v>206</v>
      </c>
      <c r="B31" s="2" t="s">
        <v>84</v>
      </c>
      <c r="C31" s="3">
        <v>42764</v>
      </c>
      <c r="D31" s="5">
        <v>119</v>
      </c>
      <c r="E31" s="2" t="s">
        <v>40</v>
      </c>
      <c r="F31" s="2" t="s">
        <v>18</v>
      </c>
      <c r="G31" s="2" t="s">
        <v>21</v>
      </c>
      <c r="H31" s="4">
        <v>24</v>
      </c>
      <c r="I3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" spans="1:13">
      <c r="A32" s="2" t="s">
        <v>205</v>
      </c>
      <c r="B32" s="2" t="s">
        <v>83</v>
      </c>
      <c r="C32" s="3">
        <v>42766</v>
      </c>
      <c r="D32" s="5">
        <v>118</v>
      </c>
      <c r="E32" s="2" t="s">
        <v>40</v>
      </c>
      <c r="F32" s="2" t="s">
        <v>15</v>
      </c>
      <c r="G32" s="2" t="s">
        <v>19</v>
      </c>
      <c r="H32" s="4">
        <v>31</v>
      </c>
      <c r="I3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3" spans="1:9">
      <c r="A33" s="2" t="s">
        <v>204</v>
      </c>
      <c r="B33" s="2" t="s">
        <v>83</v>
      </c>
      <c r="C33" s="3">
        <v>42767</v>
      </c>
      <c r="D33" s="5">
        <v>117</v>
      </c>
      <c r="E33" s="2" t="s">
        <v>9</v>
      </c>
      <c r="F33" s="2" t="s">
        <v>13</v>
      </c>
      <c r="G33" s="2" t="s">
        <v>16</v>
      </c>
      <c r="H33" s="4">
        <v>30</v>
      </c>
      <c r="I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4" spans="1:9">
      <c r="A34" s="2" t="s">
        <v>203</v>
      </c>
      <c r="B34" s="2" t="s">
        <v>82</v>
      </c>
      <c r="C34" s="3">
        <v>42768</v>
      </c>
      <c r="D34" s="5">
        <v>116</v>
      </c>
      <c r="E34" s="2" t="s">
        <v>9</v>
      </c>
      <c r="F34" s="2" t="s">
        <v>10</v>
      </c>
      <c r="G34" s="2" t="s">
        <v>14</v>
      </c>
      <c r="H34" s="4">
        <v>15</v>
      </c>
      <c r="I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5" spans="1:9">
      <c r="A35" s="2" t="s">
        <v>202</v>
      </c>
      <c r="B35" s="2" t="s">
        <v>82</v>
      </c>
      <c r="C35" s="3">
        <v>42769</v>
      </c>
      <c r="D35" s="5">
        <v>115</v>
      </c>
      <c r="E35" s="2" t="s">
        <v>9</v>
      </c>
      <c r="F35" s="2" t="s">
        <v>30</v>
      </c>
      <c r="G35" s="2" t="s">
        <v>11</v>
      </c>
      <c r="H35" s="4">
        <v>19</v>
      </c>
      <c r="I3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" spans="1:9">
      <c r="A36" s="2" t="s">
        <v>201</v>
      </c>
      <c r="B36" s="2" t="s">
        <v>81</v>
      </c>
      <c r="C36" s="3">
        <v>42775</v>
      </c>
      <c r="D36" s="5">
        <v>114</v>
      </c>
      <c r="E36" s="2" t="s">
        <v>9</v>
      </c>
      <c r="F36" s="2" t="s">
        <v>24</v>
      </c>
      <c r="G36" s="2" t="s">
        <v>25</v>
      </c>
      <c r="H36" s="4">
        <v>40</v>
      </c>
      <c r="I3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7" spans="1:9">
      <c r="A37" s="2" t="s">
        <v>200</v>
      </c>
      <c r="B37" s="2" t="s">
        <v>81</v>
      </c>
      <c r="C37" s="3">
        <v>42777</v>
      </c>
      <c r="D37" s="5">
        <v>113</v>
      </c>
      <c r="E37" s="2" t="s">
        <v>9</v>
      </c>
      <c r="F37" s="2" t="s">
        <v>20</v>
      </c>
      <c r="G37" s="2" t="s">
        <v>23</v>
      </c>
      <c r="H37" s="4">
        <v>21</v>
      </c>
      <c r="I3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" spans="1:9">
      <c r="A38" s="2" t="s">
        <v>199</v>
      </c>
      <c r="B38" s="2" t="s">
        <v>80</v>
      </c>
      <c r="C38" s="3">
        <v>42780</v>
      </c>
      <c r="D38" s="5">
        <v>111</v>
      </c>
      <c r="E38" s="2" t="s">
        <v>9</v>
      </c>
      <c r="F38" s="2" t="s">
        <v>18</v>
      </c>
      <c r="G38" s="2" t="s">
        <v>19</v>
      </c>
      <c r="H38" s="4">
        <v>28</v>
      </c>
      <c r="I3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" spans="1:9">
      <c r="A39" s="2" t="s">
        <v>199</v>
      </c>
      <c r="B39" s="2" t="s">
        <v>80</v>
      </c>
      <c r="C39" s="3">
        <v>42780</v>
      </c>
      <c r="D39" s="5">
        <v>112</v>
      </c>
      <c r="E39" s="2" t="s">
        <v>9</v>
      </c>
      <c r="F39" s="2" t="s">
        <v>13</v>
      </c>
      <c r="G39" s="2" t="s">
        <v>21</v>
      </c>
      <c r="H39" s="4">
        <v>25</v>
      </c>
      <c r="I3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" spans="1:9">
      <c r="A40" s="2" t="s">
        <v>198</v>
      </c>
      <c r="B40" s="2" t="s">
        <v>79</v>
      </c>
      <c r="C40" s="3">
        <v>42784</v>
      </c>
      <c r="D40" s="5">
        <v>110</v>
      </c>
      <c r="E40" s="2" t="s">
        <v>9</v>
      </c>
      <c r="F40" s="2" t="s">
        <v>15</v>
      </c>
      <c r="G40" s="2" t="s">
        <v>16</v>
      </c>
      <c r="H40" s="4">
        <v>15</v>
      </c>
      <c r="I4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1" spans="1:9">
      <c r="A41" s="2" t="s">
        <v>197</v>
      </c>
      <c r="B41" s="2" t="s">
        <v>79</v>
      </c>
      <c r="C41" s="3">
        <v>42786</v>
      </c>
      <c r="D41" s="5">
        <v>109</v>
      </c>
      <c r="E41" s="2" t="s">
        <v>9</v>
      </c>
      <c r="F41" s="2" t="s">
        <v>13</v>
      </c>
      <c r="G41" s="2" t="s">
        <v>14</v>
      </c>
      <c r="H41" s="4">
        <v>27</v>
      </c>
      <c r="I4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" spans="1:9">
      <c r="A42" s="2" t="s">
        <v>196</v>
      </c>
      <c r="B42" s="2" t="s">
        <v>78</v>
      </c>
      <c r="C42" s="3">
        <v>42788</v>
      </c>
      <c r="D42" s="5">
        <v>108</v>
      </c>
      <c r="E42" s="2" t="s">
        <v>9</v>
      </c>
      <c r="F42" s="2" t="s">
        <v>10</v>
      </c>
      <c r="G42" s="2" t="s">
        <v>11</v>
      </c>
      <c r="H42" s="4">
        <v>19</v>
      </c>
      <c r="I4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" spans="1:9">
      <c r="A43" s="2" t="s">
        <v>194</v>
      </c>
      <c r="B43" s="2" t="s">
        <v>77</v>
      </c>
      <c r="C43" s="3">
        <v>42797</v>
      </c>
      <c r="D43" s="5">
        <v>106</v>
      </c>
      <c r="E43" s="2" t="s">
        <v>9</v>
      </c>
      <c r="F43" s="2" t="s">
        <v>20</v>
      </c>
      <c r="G43" s="2" t="s">
        <v>23</v>
      </c>
      <c r="H43" s="4">
        <v>21</v>
      </c>
      <c r="I4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4" spans="1:9">
      <c r="A44" s="2" t="s">
        <v>195</v>
      </c>
      <c r="B44" s="2" t="s">
        <v>78</v>
      </c>
      <c r="C44" s="3">
        <v>42797</v>
      </c>
      <c r="D44" s="5">
        <v>107</v>
      </c>
      <c r="E44" s="2" t="s">
        <v>9</v>
      </c>
      <c r="F44" s="2" t="s">
        <v>24</v>
      </c>
      <c r="G44" s="2" t="s">
        <v>25</v>
      </c>
      <c r="H44" s="4">
        <v>9</v>
      </c>
      <c r="I4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5" spans="1:9">
      <c r="A45" s="2" t="s">
        <v>193</v>
      </c>
      <c r="B45" s="2" t="s">
        <v>77</v>
      </c>
      <c r="C45" s="3">
        <v>42798</v>
      </c>
      <c r="D45" s="5">
        <v>105</v>
      </c>
      <c r="E45" s="2" t="s">
        <v>9</v>
      </c>
      <c r="F45" s="2" t="s">
        <v>18</v>
      </c>
      <c r="G45" s="2" t="s">
        <v>21</v>
      </c>
      <c r="H45" s="4">
        <v>33</v>
      </c>
      <c r="I4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6" spans="1:9">
      <c r="A46" s="2" t="s">
        <v>192</v>
      </c>
      <c r="B46" s="2" t="s">
        <v>76</v>
      </c>
      <c r="C46" s="3">
        <v>42802</v>
      </c>
      <c r="D46" s="5">
        <v>104</v>
      </c>
      <c r="E46" s="2" t="s">
        <v>9</v>
      </c>
      <c r="F46" s="2" t="s">
        <v>15</v>
      </c>
      <c r="G46" s="2" t="s">
        <v>19</v>
      </c>
      <c r="H46" s="4">
        <v>33</v>
      </c>
      <c r="I4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7" spans="1:9">
      <c r="A47" s="2" t="s">
        <v>191</v>
      </c>
      <c r="B47" s="2" t="s">
        <v>76</v>
      </c>
      <c r="C47" s="3">
        <v>42803</v>
      </c>
      <c r="D47" s="5">
        <v>103</v>
      </c>
      <c r="E47" s="2" t="s">
        <v>9</v>
      </c>
      <c r="F47" s="2" t="s">
        <v>13</v>
      </c>
      <c r="G47" s="2" t="s">
        <v>16</v>
      </c>
      <c r="H47" s="4">
        <v>19</v>
      </c>
      <c r="I4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" spans="1:9">
      <c r="A48" s="2" t="s">
        <v>190</v>
      </c>
      <c r="B48" s="2" t="s">
        <v>75</v>
      </c>
      <c r="C48" s="3">
        <v>42815</v>
      </c>
      <c r="D48" s="5">
        <v>102</v>
      </c>
      <c r="E48" s="2" t="s">
        <v>9</v>
      </c>
      <c r="F48" s="2" t="s">
        <v>10</v>
      </c>
      <c r="G48" s="2" t="s">
        <v>14</v>
      </c>
      <c r="H48" s="4">
        <v>20</v>
      </c>
      <c r="I4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" spans="1:9">
      <c r="A49" s="2" t="s">
        <v>188</v>
      </c>
      <c r="B49" s="2" t="s">
        <v>74</v>
      </c>
      <c r="C49" s="3">
        <v>42816</v>
      </c>
      <c r="D49" s="5">
        <v>100</v>
      </c>
      <c r="E49" s="2" t="s">
        <v>9</v>
      </c>
      <c r="F49" s="2" t="s">
        <v>24</v>
      </c>
      <c r="G49" s="2" t="s">
        <v>25</v>
      </c>
      <c r="H49" s="4">
        <v>34</v>
      </c>
      <c r="I4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0" spans="1:9">
      <c r="A50" s="2" t="s">
        <v>189</v>
      </c>
      <c r="B50" s="2" t="s">
        <v>75</v>
      </c>
      <c r="C50" s="3">
        <v>42816</v>
      </c>
      <c r="D50" s="5">
        <v>101</v>
      </c>
      <c r="E50" s="2" t="s">
        <v>9</v>
      </c>
      <c r="F50" s="2" t="s">
        <v>30</v>
      </c>
      <c r="G50" s="2" t="s">
        <v>11</v>
      </c>
      <c r="H50" s="4">
        <v>11</v>
      </c>
      <c r="I5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1" spans="1:9">
      <c r="A51" s="2" t="s">
        <v>187</v>
      </c>
      <c r="B51" s="2" t="s">
        <v>74</v>
      </c>
      <c r="C51" s="3">
        <v>42819</v>
      </c>
      <c r="D51" s="5">
        <v>99</v>
      </c>
      <c r="E51" s="2" t="s">
        <v>33</v>
      </c>
      <c r="F51" s="2" t="s">
        <v>20</v>
      </c>
      <c r="G51" s="2" t="s">
        <v>23</v>
      </c>
      <c r="H51" s="4">
        <v>39</v>
      </c>
      <c r="I5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2" spans="1:9">
      <c r="A52" s="2" t="s">
        <v>186</v>
      </c>
      <c r="B52" s="2" t="s">
        <v>73</v>
      </c>
      <c r="C52" s="3">
        <v>42820</v>
      </c>
      <c r="D52" s="5">
        <v>98</v>
      </c>
      <c r="E52" s="2" t="s">
        <v>33</v>
      </c>
      <c r="F52" s="2" t="s">
        <v>18</v>
      </c>
      <c r="G52" s="2" t="s">
        <v>21</v>
      </c>
      <c r="H52" s="4">
        <v>23</v>
      </c>
      <c r="I5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3" spans="1:9">
      <c r="A53" s="2" t="s">
        <v>185</v>
      </c>
      <c r="B53" s="2" t="s">
        <v>73</v>
      </c>
      <c r="C53" s="3">
        <v>42828</v>
      </c>
      <c r="D53" s="5">
        <v>97</v>
      </c>
      <c r="E53" s="2" t="s">
        <v>33</v>
      </c>
      <c r="F53" s="2" t="s">
        <v>15</v>
      </c>
      <c r="G53" s="2" t="s">
        <v>19</v>
      </c>
      <c r="H53" s="4">
        <v>25</v>
      </c>
      <c r="I5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" spans="1:9">
      <c r="A54" s="2" t="s">
        <v>184</v>
      </c>
      <c r="B54" s="2" t="s">
        <v>72</v>
      </c>
      <c r="C54" s="3">
        <v>42829</v>
      </c>
      <c r="D54" s="5">
        <v>96</v>
      </c>
      <c r="E54" s="2" t="s">
        <v>33</v>
      </c>
      <c r="F54" s="2" t="s">
        <v>13</v>
      </c>
      <c r="G54" s="2" t="s">
        <v>16</v>
      </c>
      <c r="H54" s="4">
        <v>19</v>
      </c>
      <c r="I5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5" spans="1:9">
      <c r="A55" s="2" t="s">
        <v>183</v>
      </c>
      <c r="B55" s="2" t="s">
        <v>72</v>
      </c>
      <c r="C55" s="3">
        <v>42833</v>
      </c>
      <c r="D55" s="5">
        <v>95</v>
      </c>
      <c r="E55" s="2" t="s">
        <v>33</v>
      </c>
      <c r="F55" s="2" t="s">
        <v>10</v>
      </c>
      <c r="G55" s="2" t="s">
        <v>14</v>
      </c>
      <c r="H55" s="4">
        <v>10</v>
      </c>
      <c r="I5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6" spans="1:9">
      <c r="A56" s="2" t="s">
        <v>182</v>
      </c>
      <c r="B56" s="2" t="s">
        <v>71</v>
      </c>
      <c r="C56" s="3">
        <v>42834</v>
      </c>
      <c r="D56" s="5">
        <v>94</v>
      </c>
      <c r="E56" s="2" t="s">
        <v>33</v>
      </c>
      <c r="F56" s="2" t="s">
        <v>30</v>
      </c>
      <c r="G56" s="2" t="s">
        <v>11</v>
      </c>
      <c r="H56" s="4">
        <v>11</v>
      </c>
      <c r="I5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" spans="1:9">
      <c r="A57" s="2" t="s">
        <v>181</v>
      </c>
      <c r="B57" s="2" t="s">
        <v>71</v>
      </c>
      <c r="C57" s="3">
        <v>42839</v>
      </c>
      <c r="D57" s="5">
        <v>93</v>
      </c>
      <c r="E57" s="2" t="s">
        <v>33</v>
      </c>
      <c r="F57" s="2" t="s">
        <v>24</v>
      </c>
      <c r="G57" s="2" t="s">
        <v>23</v>
      </c>
      <c r="H57" s="4">
        <v>18</v>
      </c>
      <c r="I5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8" spans="1:9">
      <c r="A58" s="2" t="s">
        <v>180</v>
      </c>
      <c r="B58" s="2" t="s">
        <v>70</v>
      </c>
      <c r="C58" s="3">
        <v>42840</v>
      </c>
      <c r="D58" s="5">
        <v>92</v>
      </c>
      <c r="E58" s="2" t="s">
        <v>33</v>
      </c>
      <c r="F58" s="2" t="s">
        <v>20</v>
      </c>
      <c r="G58" s="2" t="s">
        <v>21</v>
      </c>
      <c r="H58" s="4">
        <v>35</v>
      </c>
      <c r="I5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" spans="1:9">
      <c r="A59" s="2" t="s">
        <v>179</v>
      </c>
      <c r="B59" s="2" t="s">
        <v>70</v>
      </c>
      <c r="C59" s="3">
        <v>42842</v>
      </c>
      <c r="D59" s="5">
        <v>91</v>
      </c>
      <c r="E59" s="2" t="s">
        <v>33</v>
      </c>
      <c r="F59" s="2" t="s">
        <v>18</v>
      </c>
      <c r="G59" s="2" t="s">
        <v>19</v>
      </c>
      <c r="H59" s="4">
        <v>36</v>
      </c>
      <c r="I5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0" spans="1:9">
      <c r="A60" s="2" t="s">
        <v>178</v>
      </c>
      <c r="B60" s="2" t="s">
        <v>69</v>
      </c>
      <c r="C60" s="3">
        <v>42849</v>
      </c>
      <c r="D60" s="5">
        <v>90</v>
      </c>
      <c r="E60" s="2" t="s">
        <v>33</v>
      </c>
      <c r="F60" s="2" t="s">
        <v>15</v>
      </c>
      <c r="G60" s="2" t="s">
        <v>16</v>
      </c>
      <c r="H60" s="4">
        <v>31</v>
      </c>
      <c r="I6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1" spans="1:9">
      <c r="A61" s="2" t="s">
        <v>177</v>
      </c>
      <c r="B61" s="2" t="s">
        <v>69</v>
      </c>
      <c r="C61" s="3">
        <v>42850</v>
      </c>
      <c r="D61" s="5">
        <v>89</v>
      </c>
      <c r="E61" s="2" t="s">
        <v>33</v>
      </c>
      <c r="F61" s="2" t="s">
        <v>13</v>
      </c>
      <c r="G61" s="2" t="s">
        <v>14</v>
      </c>
      <c r="H61" s="4">
        <v>11</v>
      </c>
      <c r="I6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2" spans="1:9">
      <c r="A62" s="2" t="s">
        <v>176</v>
      </c>
      <c r="B62" s="2" t="s">
        <v>68</v>
      </c>
      <c r="C62" s="3">
        <v>42851</v>
      </c>
      <c r="D62" s="5">
        <v>88</v>
      </c>
      <c r="E62" s="2" t="s">
        <v>33</v>
      </c>
      <c r="F62" s="2" t="s">
        <v>10</v>
      </c>
      <c r="G62" s="2" t="s">
        <v>11</v>
      </c>
      <c r="H62" s="4">
        <v>20</v>
      </c>
      <c r="I6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3" spans="1:9">
      <c r="A63" s="2" t="s">
        <v>175</v>
      </c>
      <c r="B63" s="2" t="s">
        <v>68</v>
      </c>
      <c r="C63" s="3">
        <v>42852</v>
      </c>
      <c r="D63" s="5">
        <v>87</v>
      </c>
      <c r="E63" s="2" t="s">
        <v>33</v>
      </c>
      <c r="F63" s="2" t="s">
        <v>24</v>
      </c>
      <c r="G63" s="2" t="s">
        <v>23</v>
      </c>
      <c r="H63" s="4">
        <v>29</v>
      </c>
      <c r="I6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4" spans="1:9">
      <c r="A64" s="2" t="s">
        <v>174</v>
      </c>
      <c r="B64" s="2" t="s">
        <v>67</v>
      </c>
      <c r="C64" s="3">
        <v>42859</v>
      </c>
      <c r="D64" s="5">
        <v>86</v>
      </c>
      <c r="E64" s="2" t="s">
        <v>33</v>
      </c>
      <c r="F64" s="2" t="s">
        <v>20</v>
      </c>
      <c r="G64" s="2" t="s">
        <v>21</v>
      </c>
      <c r="H64" s="4">
        <v>15</v>
      </c>
      <c r="I6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" spans="1:9">
      <c r="A65" s="2" t="s">
        <v>173</v>
      </c>
      <c r="B65" s="2" t="s">
        <v>67</v>
      </c>
      <c r="C65" s="3">
        <v>42863</v>
      </c>
      <c r="D65" s="5">
        <v>85</v>
      </c>
      <c r="E65" s="2" t="s">
        <v>33</v>
      </c>
      <c r="F65" s="2" t="s">
        <v>18</v>
      </c>
      <c r="G65" s="2" t="s">
        <v>19</v>
      </c>
      <c r="H65" s="4">
        <v>15</v>
      </c>
      <c r="I6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6" spans="1:9">
      <c r="A66" s="2" t="s">
        <v>172</v>
      </c>
      <c r="B66" s="2" t="s">
        <v>66</v>
      </c>
      <c r="C66" s="3">
        <v>42864</v>
      </c>
      <c r="D66" s="5">
        <v>84</v>
      </c>
      <c r="E66" s="2" t="s">
        <v>33</v>
      </c>
      <c r="F66" s="2" t="s">
        <v>15</v>
      </c>
      <c r="G66" s="2" t="s">
        <v>16</v>
      </c>
      <c r="H66" s="4">
        <v>12</v>
      </c>
      <c r="I6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7" spans="1:9">
      <c r="A67" s="2" t="s">
        <v>171</v>
      </c>
      <c r="B67" s="2" t="s">
        <v>66</v>
      </c>
      <c r="C67" s="3">
        <v>42869</v>
      </c>
      <c r="D67" s="5">
        <v>83</v>
      </c>
      <c r="E67" s="2" t="s">
        <v>33</v>
      </c>
      <c r="F67" s="2" t="s">
        <v>13</v>
      </c>
      <c r="G67" s="2" t="s">
        <v>14</v>
      </c>
      <c r="H67" s="4">
        <v>21</v>
      </c>
      <c r="I6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8" spans="1:9">
      <c r="A68" s="2" t="s">
        <v>168</v>
      </c>
      <c r="B68" s="2" t="s">
        <v>64</v>
      </c>
      <c r="C68" s="3">
        <v>42870</v>
      </c>
      <c r="D68" s="5">
        <v>80</v>
      </c>
      <c r="E68" s="2" t="s">
        <v>33</v>
      </c>
      <c r="F68" s="2" t="s">
        <v>24</v>
      </c>
      <c r="G68" s="2" t="s">
        <v>21</v>
      </c>
      <c r="H68" s="4">
        <v>22</v>
      </c>
      <c r="I6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9" spans="1:9">
      <c r="A69" s="2" t="s">
        <v>169</v>
      </c>
      <c r="B69" s="2" t="s">
        <v>65</v>
      </c>
      <c r="C69" s="3">
        <v>42870</v>
      </c>
      <c r="D69" s="5">
        <v>81</v>
      </c>
      <c r="E69" s="2" t="s">
        <v>33</v>
      </c>
      <c r="F69" s="2" t="s">
        <v>30</v>
      </c>
      <c r="G69" s="2" t="s">
        <v>23</v>
      </c>
      <c r="H69" s="4">
        <v>27</v>
      </c>
      <c r="I6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0" spans="1:9">
      <c r="A70" s="2" t="s">
        <v>170</v>
      </c>
      <c r="B70" s="2" t="s">
        <v>65</v>
      </c>
      <c r="C70" s="3">
        <v>42870</v>
      </c>
      <c r="D70" s="5">
        <v>82</v>
      </c>
      <c r="E70" s="2" t="s">
        <v>33</v>
      </c>
      <c r="F70" s="2" t="s">
        <v>10</v>
      </c>
      <c r="G70" s="2" t="s">
        <v>11</v>
      </c>
      <c r="H70" s="4">
        <v>11</v>
      </c>
      <c r="I7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" spans="1:9">
      <c r="A71" s="2" t="s">
        <v>167</v>
      </c>
      <c r="B71" s="2" t="s">
        <v>64</v>
      </c>
      <c r="C71" s="3">
        <v>42871</v>
      </c>
      <c r="D71" s="5">
        <v>79</v>
      </c>
      <c r="E71" s="2" t="s">
        <v>33</v>
      </c>
      <c r="F71" s="2" t="s">
        <v>20</v>
      </c>
      <c r="G71" s="2" t="s">
        <v>19</v>
      </c>
      <c r="H71" s="4">
        <v>13</v>
      </c>
      <c r="I7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2" spans="1:9">
      <c r="A72" s="2" t="s">
        <v>166</v>
      </c>
      <c r="B72" s="2" t="s">
        <v>63</v>
      </c>
      <c r="C72" s="3">
        <v>42872</v>
      </c>
      <c r="D72" s="5">
        <v>78</v>
      </c>
      <c r="E72" s="2" t="s">
        <v>33</v>
      </c>
      <c r="F72" s="2" t="s">
        <v>18</v>
      </c>
      <c r="G72" s="2" t="s">
        <v>16</v>
      </c>
      <c r="H72" s="4">
        <v>37</v>
      </c>
      <c r="I7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3" spans="1:9">
      <c r="A73" s="2" t="s">
        <v>165</v>
      </c>
      <c r="B73" s="2" t="s">
        <v>63</v>
      </c>
      <c r="C73" s="3">
        <v>42873</v>
      </c>
      <c r="D73" s="5">
        <v>77</v>
      </c>
      <c r="E73" s="2" t="s">
        <v>33</v>
      </c>
      <c r="F73" s="2" t="s">
        <v>15</v>
      </c>
      <c r="G73" s="2" t="s">
        <v>14</v>
      </c>
      <c r="H73" s="4">
        <v>35</v>
      </c>
      <c r="I7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4" spans="1:9">
      <c r="A74" s="2" t="s">
        <v>164</v>
      </c>
      <c r="B74" s="2" t="s">
        <v>62</v>
      </c>
      <c r="C74" s="3">
        <v>42875</v>
      </c>
      <c r="D74" s="5">
        <v>76</v>
      </c>
      <c r="E74" s="2" t="s">
        <v>33</v>
      </c>
      <c r="F74" s="2" t="s">
        <v>13</v>
      </c>
      <c r="G74" s="2" t="s">
        <v>11</v>
      </c>
      <c r="H74" s="4">
        <v>21</v>
      </c>
      <c r="I7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" spans="1:9">
      <c r="A75" s="2" t="s">
        <v>163</v>
      </c>
      <c r="B75" s="2" t="s">
        <v>62</v>
      </c>
      <c r="C75" s="3">
        <v>42878</v>
      </c>
      <c r="D75" s="5">
        <v>75</v>
      </c>
      <c r="E75" s="2" t="s">
        <v>33</v>
      </c>
      <c r="F75" s="2" t="s">
        <v>10</v>
      </c>
      <c r="G75" s="2" t="s">
        <v>21</v>
      </c>
      <c r="H75" s="4">
        <v>27</v>
      </c>
      <c r="I7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" spans="1:9">
      <c r="A76" s="2" t="s">
        <v>162</v>
      </c>
      <c r="B76" s="2" t="s">
        <v>61</v>
      </c>
      <c r="C76" s="3">
        <v>42879</v>
      </c>
      <c r="D76" s="5">
        <v>74</v>
      </c>
      <c r="E76" s="2" t="s">
        <v>33</v>
      </c>
      <c r="F76" s="2" t="s">
        <v>30</v>
      </c>
      <c r="G76" s="2" t="s">
        <v>19</v>
      </c>
      <c r="H76" s="4">
        <v>9</v>
      </c>
      <c r="I7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7" spans="1:9">
      <c r="A77" s="2" t="s">
        <v>159</v>
      </c>
      <c r="B77" s="2" t="s">
        <v>60</v>
      </c>
      <c r="C77" s="3">
        <v>42880</v>
      </c>
      <c r="D77" s="5">
        <v>71</v>
      </c>
      <c r="E77" s="2" t="s">
        <v>40</v>
      </c>
      <c r="F77" s="2" t="s">
        <v>18</v>
      </c>
      <c r="G77" s="2" t="s">
        <v>11</v>
      </c>
      <c r="H77" s="4">
        <v>39</v>
      </c>
      <c r="I7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8" spans="1:9">
      <c r="A78" s="2" t="s">
        <v>160</v>
      </c>
      <c r="B78" s="2" t="s">
        <v>60</v>
      </c>
      <c r="C78" s="3">
        <v>42880</v>
      </c>
      <c r="D78" s="5">
        <v>72</v>
      </c>
      <c r="E78" s="2" t="s">
        <v>40</v>
      </c>
      <c r="F78" s="2" t="s">
        <v>20</v>
      </c>
      <c r="G78" s="2" t="s">
        <v>14</v>
      </c>
      <c r="H78" s="4">
        <v>15</v>
      </c>
      <c r="I7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9" spans="1:9">
      <c r="A79" s="2" t="s">
        <v>161</v>
      </c>
      <c r="B79" s="2" t="s">
        <v>61</v>
      </c>
      <c r="C79" s="3">
        <v>42880</v>
      </c>
      <c r="D79" s="5">
        <v>73</v>
      </c>
      <c r="E79" s="2" t="s">
        <v>33</v>
      </c>
      <c r="F79" s="2" t="s">
        <v>24</v>
      </c>
      <c r="G79" s="2" t="s">
        <v>16</v>
      </c>
      <c r="H79" s="4">
        <v>28</v>
      </c>
      <c r="I7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0" spans="1:9">
      <c r="A80" s="2" t="s">
        <v>158</v>
      </c>
      <c r="B80" s="2" t="s">
        <v>59</v>
      </c>
      <c r="C80" s="3">
        <v>42887</v>
      </c>
      <c r="D80" s="5">
        <v>70</v>
      </c>
      <c r="E80" s="2" t="s">
        <v>40</v>
      </c>
      <c r="F80" s="2" t="s">
        <v>15</v>
      </c>
      <c r="G80" s="2" t="s">
        <v>23</v>
      </c>
      <c r="H80" s="4">
        <v>33</v>
      </c>
      <c r="I8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1" spans="1:9">
      <c r="A81" s="2" t="s">
        <v>157</v>
      </c>
      <c r="B81" s="2" t="s">
        <v>59</v>
      </c>
      <c r="C81" s="3">
        <v>42888</v>
      </c>
      <c r="D81" s="5">
        <v>69</v>
      </c>
      <c r="E81" s="2" t="s">
        <v>40</v>
      </c>
      <c r="F81" s="2" t="s">
        <v>13</v>
      </c>
      <c r="G81" s="2" t="s">
        <v>21</v>
      </c>
      <c r="H81" s="4">
        <v>19</v>
      </c>
      <c r="I8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82" spans="1:9">
      <c r="A82" s="2" t="s">
        <v>156</v>
      </c>
      <c r="B82" s="2" t="s">
        <v>58</v>
      </c>
      <c r="C82" s="3">
        <v>42891</v>
      </c>
      <c r="D82" s="5">
        <v>68</v>
      </c>
      <c r="E82" s="2" t="s">
        <v>40</v>
      </c>
      <c r="F82" s="2" t="s">
        <v>10</v>
      </c>
      <c r="G82" s="2" t="s">
        <v>19</v>
      </c>
      <c r="H82" s="4">
        <v>31</v>
      </c>
      <c r="I8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83" spans="1:9">
      <c r="A83" s="2" t="s">
        <v>155</v>
      </c>
      <c r="B83" s="2" t="s">
        <v>58</v>
      </c>
      <c r="C83" s="3">
        <v>42896</v>
      </c>
      <c r="D83" s="5">
        <v>67</v>
      </c>
      <c r="E83" s="2" t="s">
        <v>9</v>
      </c>
      <c r="F83" s="2" t="s">
        <v>24</v>
      </c>
      <c r="G83" s="2" t="s">
        <v>16</v>
      </c>
      <c r="H83" s="4">
        <v>11</v>
      </c>
      <c r="I8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4" spans="1:9">
      <c r="A84" s="2" t="s">
        <v>154</v>
      </c>
      <c r="B84" s="2" t="s">
        <v>57</v>
      </c>
      <c r="C84" s="3">
        <v>42901</v>
      </c>
      <c r="D84" s="5">
        <v>66</v>
      </c>
      <c r="E84" s="2" t="s">
        <v>9</v>
      </c>
      <c r="F84" s="2" t="s">
        <v>20</v>
      </c>
      <c r="G84" s="2" t="s">
        <v>14</v>
      </c>
      <c r="H84" s="4">
        <v>37</v>
      </c>
      <c r="I8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85" spans="1:9">
      <c r="A85" s="2" t="s">
        <v>152</v>
      </c>
      <c r="B85" s="2" t="s">
        <v>56</v>
      </c>
      <c r="C85" s="3">
        <v>42903</v>
      </c>
      <c r="D85" s="5">
        <v>64</v>
      </c>
      <c r="E85" s="2" t="s">
        <v>9</v>
      </c>
      <c r="F85" s="2" t="s">
        <v>15</v>
      </c>
      <c r="G85" s="2" t="s">
        <v>19</v>
      </c>
      <c r="H85" s="4">
        <v>30</v>
      </c>
      <c r="I8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6" spans="1:9">
      <c r="A86" s="2" t="s">
        <v>153</v>
      </c>
      <c r="B86" s="2" t="s">
        <v>57</v>
      </c>
      <c r="C86" s="3">
        <v>42903</v>
      </c>
      <c r="D86" s="5">
        <v>65</v>
      </c>
      <c r="E86" s="2" t="s">
        <v>9</v>
      </c>
      <c r="F86" s="2" t="s">
        <v>18</v>
      </c>
      <c r="G86" s="2" t="s">
        <v>11</v>
      </c>
      <c r="H86" s="4">
        <v>31</v>
      </c>
      <c r="I8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87" spans="1:9">
      <c r="A87" s="2" t="s">
        <v>151</v>
      </c>
      <c r="B87" s="2" t="s">
        <v>56</v>
      </c>
      <c r="C87" s="3">
        <v>42904</v>
      </c>
      <c r="D87" s="5">
        <v>63</v>
      </c>
      <c r="E87" s="2" t="s">
        <v>9</v>
      </c>
      <c r="F87" s="2" t="s">
        <v>13</v>
      </c>
      <c r="G87" s="2" t="s">
        <v>16</v>
      </c>
      <c r="H87" s="4">
        <v>15</v>
      </c>
      <c r="I8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88" spans="1:9">
      <c r="A88" s="2" t="s">
        <v>150</v>
      </c>
      <c r="B88" s="2" t="s">
        <v>55</v>
      </c>
      <c r="C88" s="3">
        <v>42908</v>
      </c>
      <c r="D88" s="5">
        <v>62</v>
      </c>
      <c r="E88" s="2" t="s">
        <v>9</v>
      </c>
      <c r="F88" s="2" t="s">
        <v>10</v>
      </c>
      <c r="G88" s="2" t="s">
        <v>14</v>
      </c>
      <c r="H88" s="4">
        <v>38</v>
      </c>
      <c r="I8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89" spans="1:9">
      <c r="A89" s="2" t="s">
        <v>148</v>
      </c>
      <c r="B89" s="2" t="s">
        <v>54</v>
      </c>
      <c r="C89" s="3">
        <v>42917</v>
      </c>
      <c r="D89" s="5">
        <v>60</v>
      </c>
      <c r="E89" s="2" t="s">
        <v>9</v>
      </c>
      <c r="F89" s="2" t="s">
        <v>24</v>
      </c>
      <c r="G89" s="2" t="s">
        <v>25</v>
      </c>
      <c r="H89" s="4">
        <v>40</v>
      </c>
      <c r="I8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90" spans="1:9">
      <c r="A90" s="2" t="s">
        <v>149</v>
      </c>
      <c r="B90" s="2" t="s">
        <v>55</v>
      </c>
      <c r="C90" s="3">
        <v>42917</v>
      </c>
      <c r="D90" s="5">
        <v>61</v>
      </c>
      <c r="E90" s="2" t="s">
        <v>9</v>
      </c>
      <c r="F90" s="2" t="s">
        <v>30</v>
      </c>
      <c r="G90" s="2" t="s">
        <v>11</v>
      </c>
      <c r="H90" s="4">
        <v>17</v>
      </c>
      <c r="I9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91" spans="1:9">
      <c r="A91" s="2" t="s">
        <v>147</v>
      </c>
      <c r="B91" s="2" t="s">
        <v>54</v>
      </c>
      <c r="C91" s="3">
        <v>42920</v>
      </c>
      <c r="D91" s="5">
        <v>59</v>
      </c>
      <c r="E91" s="2" t="s">
        <v>9</v>
      </c>
      <c r="F91" s="2" t="s">
        <v>20</v>
      </c>
      <c r="G91" s="2" t="s">
        <v>23</v>
      </c>
      <c r="H91" s="4">
        <v>25</v>
      </c>
      <c r="I9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92" spans="1:9">
      <c r="A92" s="2" t="s">
        <v>145</v>
      </c>
      <c r="B92" s="2" t="s">
        <v>53</v>
      </c>
      <c r="C92" s="3">
        <v>42928</v>
      </c>
      <c r="D92" s="5">
        <v>57</v>
      </c>
      <c r="E92" s="2" t="s">
        <v>9</v>
      </c>
      <c r="F92" s="2" t="s">
        <v>15</v>
      </c>
      <c r="G92" s="2" t="s">
        <v>19</v>
      </c>
      <c r="H92" s="4">
        <v>30</v>
      </c>
      <c r="I9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93" spans="1:9">
      <c r="A93" s="2" t="s">
        <v>146</v>
      </c>
      <c r="B93" s="2" t="s">
        <v>53</v>
      </c>
      <c r="C93" s="3">
        <v>42928</v>
      </c>
      <c r="D93" s="5">
        <v>58</v>
      </c>
      <c r="E93" s="2" t="s">
        <v>9</v>
      </c>
      <c r="F93" s="2" t="s">
        <v>18</v>
      </c>
      <c r="G93" s="2" t="s">
        <v>21</v>
      </c>
      <c r="H93" s="4">
        <v>24</v>
      </c>
      <c r="I9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94" spans="1:9">
      <c r="A94" s="2" t="s">
        <v>144</v>
      </c>
      <c r="B94" s="2" t="s">
        <v>52</v>
      </c>
      <c r="C94" s="3">
        <v>42930</v>
      </c>
      <c r="D94" s="5">
        <v>56</v>
      </c>
      <c r="E94" s="2" t="s">
        <v>9</v>
      </c>
      <c r="F94" s="2" t="s">
        <v>13</v>
      </c>
      <c r="G94" s="2" t="s">
        <v>16</v>
      </c>
      <c r="H94" s="4">
        <v>39</v>
      </c>
      <c r="I9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95" spans="1:9">
      <c r="A95" s="2" t="s">
        <v>143</v>
      </c>
      <c r="B95" s="2" t="s">
        <v>52</v>
      </c>
      <c r="C95" s="3">
        <v>42933</v>
      </c>
      <c r="D95" s="5">
        <v>55</v>
      </c>
      <c r="E95" s="2" t="s">
        <v>9</v>
      </c>
      <c r="F95" s="2" t="s">
        <v>10</v>
      </c>
      <c r="G95" s="2" t="s">
        <v>14</v>
      </c>
      <c r="H95" s="4">
        <v>39</v>
      </c>
      <c r="I9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96" spans="1:9">
      <c r="A96" s="2" t="s">
        <v>142</v>
      </c>
      <c r="B96" s="2" t="s">
        <v>51</v>
      </c>
      <c r="C96" s="3">
        <v>42936</v>
      </c>
      <c r="D96" s="5">
        <v>54</v>
      </c>
      <c r="E96" s="2" t="s">
        <v>9</v>
      </c>
      <c r="F96" s="2" t="s">
        <v>30</v>
      </c>
      <c r="G96" s="2" t="s">
        <v>11</v>
      </c>
      <c r="H96" s="4">
        <v>32</v>
      </c>
      <c r="I9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97" spans="1:9">
      <c r="A97" s="2" t="s">
        <v>141</v>
      </c>
      <c r="B97" s="2" t="s">
        <v>51</v>
      </c>
      <c r="C97" s="3">
        <v>42940</v>
      </c>
      <c r="D97" s="5">
        <v>53</v>
      </c>
      <c r="E97" s="2" t="s">
        <v>9</v>
      </c>
      <c r="F97" s="2" t="s">
        <v>24</v>
      </c>
      <c r="G97" s="2" t="s">
        <v>25</v>
      </c>
      <c r="H97" s="4">
        <v>12</v>
      </c>
      <c r="I9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98" spans="1:9">
      <c r="A98" s="2" t="s">
        <v>139</v>
      </c>
      <c r="B98" s="2" t="s">
        <v>50</v>
      </c>
      <c r="C98" s="3">
        <v>42942</v>
      </c>
      <c r="D98" s="5">
        <v>51</v>
      </c>
      <c r="E98" s="2" t="s">
        <v>9</v>
      </c>
      <c r="F98" s="2" t="s">
        <v>18</v>
      </c>
      <c r="G98" s="2" t="s">
        <v>21</v>
      </c>
      <c r="H98" s="4">
        <v>38</v>
      </c>
      <c r="I9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99" spans="1:9">
      <c r="A99" s="2" t="s">
        <v>140</v>
      </c>
      <c r="B99" s="2" t="s">
        <v>50</v>
      </c>
      <c r="C99" s="3">
        <v>42942</v>
      </c>
      <c r="D99" s="5">
        <v>52</v>
      </c>
      <c r="E99" s="2" t="s">
        <v>9</v>
      </c>
      <c r="F99" s="2" t="s">
        <v>20</v>
      </c>
      <c r="G99" s="2" t="s">
        <v>23</v>
      </c>
      <c r="H99" s="4">
        <v>18</v>
      </c>
      <c r="I9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00" spans="1:9">
      <c r="A100" s="2" t="s">
        <v>138</v>
      </c>
      <c r="B100" s="2" t="s">
        <v>49</v>
      </c>
      <c r="C100" s="3">
        <v>42943</v>
      </c>
      <c r="D100" s="5">
        <v>50</v>
      </c>
      <c r="E100" s="2" t="s">
        <v>9</v>
      </c>
      <c r="F100" s="2" t="s">
        <v>15</v>
      </c>
      <c r="G100" s="2" t="s">
        <v>19</v>
      </c>
      <c r="H100" s="4">
        <v>36</v>
      </c>
      <c r="I10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01" spans="1:9">
      <c r="A101" s="2" t="s">
        <v>137</v>
      </c>
      <c r="B101" s="2" t="s">
        <v>49</v>
      </c>
      <c r="C101" s="3">
        <v>42944</v>
      </c>
      <c r="D101" s="5">
        <v>49</v>
      </c>
      <c r="E101" s="2" t="s">
        <v>9</v>
      </c>
      <c r="F101" s="2" t="s">
        <v>13</v>
      </c>
      <c r="G101" s="2" t="s">
        <v>16</v>
      </c>
      <c r="H101" s="4">
        <v>25</v>
      </c>
      <c r="I10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02" spans="1:9">
      <c r="A102" s="2" t="s">
        <v>136</v>
      </c>
      <c r="B102" s="2" t="s">
        <v>48</v>
      </c>
      <c r="C102" s="3">
        <v>42945</v>
      </c>
      <c r="D102" s="5">
        <v>48</v>
      </c>
      <c r="E102" s="2" t="s">
        <v>40</v>
      </c>
      <c r="F102" s="2" t="s">
        <v>10</v>
      </c>
      <c r="G102" s="2" t="s">
        <v>14</v>
      </c>
      <c r="H102" s="4">
        <v>20</v>
      </c>
      <c r="I10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03" spans="1:9">
      <c r="A103" s="2" t="s">
        <v>135</v>
      </c>
      <c r="B103" s="2" t="s">
        <v>48</v>
      </c>
      <c r="C103" s="3">
        <v>42951</v>
      </c>
      <c r="D103" s="5">
        <v>47</v>
      </c>
      <c r="E103" s="2" t="s">
        <v>40</v>
      </c>
      <c r="F103" s="2" t="s">
        <v>24</v>
      </c>
      <c r="G103" s="2" t="s">
        <v>11</v>
      </c>
      <c r="H103" s="4">
        <v>18</v>
      </c>
      <c r="I10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04" spans="1:9">
      <c r="A104" s="2" t="s">
        <v>134</v>
      </c>
      <c r="B104" s="2" t="s">
        <v>47</v>
      </c>
      <c r="C104" s="3">
        <v>42961</v>
      </c>
      <c r="D104" s="5">
        <v>46</v>
      </c>
      <c r="E104" s="2" t="s">
        <v>40</v>
      </c>
      <c r="F104" s="2" t="s">
        <v>20</v>
      </c>
      <c r="G104" s="2" t="s">
        <v>19</v>
      </c>
      <c r="H104" s="4">
        <v>23</v>
      </c>
      <c r="I10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05" spans="1:9">
      <c r="A105" s="2" t="s">
        <v>133</v>
      </c>
      <c r="B105" s="2" t="s">
        <v>47</v>
      </c>
      <c r="C105" s="3">
        <v>42966</v>
      </c>
      <c r="D105" s="5">
        <v>45</v>
      </c>
      <c r="E105" s="2" t="s">
        <v>40</v>
      </c>
      <c r="F105" s="2" t="s">
        <v>18</v>
      </c>
      <c r="G105" s="2" t="s">
        <v>16</v>
      </c>
      <c r="H105" s="4">
        <v>14</v>
      </c>
      <c r="I10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06" spans="1:9">
      <c r="A106" s="2" t="s">
        <v>132</v>
      </c>
      <c r="B106" s="2" t="s">
        <v>46</v>
      </c>
      <c r="C106" s="3">
        <v>42971</v>
      </c>
      <c r="D106" s="5">
        <v>44</v>
      </c>
      <c r="E106" s="2" t="s">
        <v>40</v>
      </c>
      <c r="F106" s="2" t="s">
        <v>15</v>
      </c>
      <c r="G106" s="2" t="s">
        <v>14</v>
      </c>
      <c r="H106" s="4">
        <v>19</v>
      </c>
      <c r="I10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07" spans="1:9">
      <c r="A107" s="2" t="s">
        <v>131</v>
      </c>
      <c r="B107" s="2" t="s">
        <v>46</v>
      </c>
      <c r="C107" s="3">
        <v>42989</v>
      </c>
      <c r="D107" s="5">
        <v>43</v>
      </c>
      <c r="E107" s="2" t="s">
        <v>40</v>
      </c>
      <c r="F107" s="2" t="s">
        <v>13</v>
      </c>
      <c r="G107" s="2" t="s">
        <v>11</v>
      </c>
      <c r="H107" s="4">
        <v>32</v>
      </c>
      <c r="I10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08" spans="1:9">
      <c r="A108" s="2" t="s">
        <v>130</v>
      </c>
      <c r="B108" s="2" t="s">
        <v>45</v>
      </c>
      <c r="C108" s="3">
        <v>42991</v>
      </c>
      <c r="D108" s="5">
        <v>42</v>
      </c>
      <c r="E108" s="2" t="s">
        <v>40</v>
      </c>
      <c r="F108" s="2" t="s">
        <v>10</v>
      </c>
      <c r="G108" s="2" t="s">
        <v>25</v>
      </c>
      <c r="H108" s="4">
        <v>27</v>
      </c>
      <c r="I10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09" spans="1:9">
      <c r="A109" s="2" t="s">
        <v>129</v>
      </c>
      <c r="B109" s="2" t="s">
        <v>45</v>
      </c>
      <c r="C109" s="3">
        <v>42992</v>
      </c>
      <c r="D109" s="5">
        <v>41</v>
      </c>
      <c r="E109" s="2" t="s">
        <v>40</v>
      </c>
      <c r="F109" s="2" t="s">
        <v>30</v>
      </c>
      <c r="G109" s="2" t="s">
        <v>23</v>
      </c>
      <c r="H109" s="4">
        <v>20</v>
      </c>
      <c r="I10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10" spans="1:9">
      <c r="A110" s="2" t="s">
        <v>128</v>
      </c>
      <c r="B110" s="2" t="s">
        <v>44</v>
      </c>
      <c r="C110" s="3">
        <v>42993</v>
      </c>
      <c r="D110" s="5">
        <v>40</v>
      </c>
      <c r="E110" s="2" t="s">
        <v>40</v>
      </c>
      <c r="F110" s="2" t="s">
        <v>24</v>
      </c>
      <c r="G110" s="2" t="s">
        <v>21</v>
      </c>
      <c r="H110" s="4">
        <v>28</v>
      </c>
      <c r="I11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11" spans="1:9">
      <c r="A111" s="2" t="s">
        <v>127</v>
      </c>
      <c r="B111" s="2" t="s">
        <v>44</v>
      </c>
      <c r="C111" s="3">
        <v>42999</v>
      </c>
      <c r="D111" s="5">
        <v>39</v>
      </c>
      <c r="E111" s="2" t="s">
        <v>40</v>
      </c>
      <c r="F111" s="2" t="s">
        <v>20</v>
      </c>
      <c r="G111" s="2" t="s">
        <v>19</v>
      </c>
      <c r="H111" s="4">
        <v>16</v>
      </c>
      <c r="I11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12" spans="1:9">
      <c r="A112" s="2" t="s">
        <v>125</v>
      </c>
      <c r="B112" s="2" t="s">
        <v>43</v>
      </c>
      <c r="C112" s="3">
        <v>43000</v>
      </c>
      <c r="D112" s="5">
        <v>37</v>
      </c>
      <c r="E112" s="2" t="s">
        <v>40</v>
      </c>
      <c r="F112" s="2" t="s">
        <v>15</v>
      </c>
      <c r="G112" s="2" t="s">
        <v>14</v>
      </c>
      <c r="H112" s="4">
        <v>23</v>
      </c>
      <c r="I11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13" spans="1:9">
      <c r="A113" s="2" t="s">
        <v>126</v>
      </c>
      <c r="B113" s="2" t="s">
        <v>43</v>
      </c>
      <c r="C113" s="3">
        <v>43000</v>
      </c>
      <c r="D113" s="5">
        <v>38</v>
      </c>
      <c r="E113" s="2" t="s">
        <v>40</v>
      </c>
      <c r="F113" s="2" t="s">
        <v>18</v>
      </c>
      <c r="G113" s="2" t="s">
        <v>16</v>
      </c>
      <c r="H113" s="4">
        <v>34</v>
      </c>
      <c r="I11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14" spans="1:9">
      <c r="A114" s="2" t="s">
        <v>123</v>
      </c>
      <c r="B114" s="2" t="s">
        <v>42</v>
      </c>
      <c r="C114" s="3">
        <v>43005</v>
      </c>
      <c r="D114" s="5">
        <v>35</v>
      </c>
      <c r="E114" s="2" t="s">
        <v>40</v>
      </c>
      <c r="F114" s="2" t="s">
        <v>10</v>
      </c>
      <c r="G114" s="2" t="s">
        <v>25</v>
      </c>
      <c r="H114" s="4">
        <v>24</v>
      </c>
      <c r="I1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15" spans="1:9">
      <c r="A115" s="2" t="s">
        <v>124</v>
      </c>
      <c r="B115" s="2" t="s">
        <v>42</v>
      </c>
      <c r="C115" s="3">
        <v>43005</v>
      </c>
      <c r="D115" s="5">
        <v>36</v>
      </c>
      <c r="E115" s="2" t="s">
        <v>40</v>
      </c>
      <c r="F115" s="2" t="s">
        <v>13</v>
      </c>
      <c r="G115" s="2" t="s">
        <v>11</v>
      </c>
      <c r="H115" s="4">
        <v>37</v>
      </c>
      <c r="I11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16" spans="1:9">
      <c r="A116" s="2" t="s">
        <v>122</v>
      </c>
      <c r="B116" s="2" t="s">
        <v>41</v>
      </c>
      <c r="C116" s="3">
        <v>43007</v>
      </c>
      <c r="D116" s="5">
        <v>34</v>
      </c>
      <c r="E116" s="2" t="s">
        <v>40</v>
      </c>
      <c r="F116" s="2" t="s">
        <v>30</v>
      </c>
      <c r="G116" s="2" t="s">
        <v>23</v>
      </c>
      <c r="H116" s="4">
        <v>32</v>
      </c>
      <c r="I11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17" spans="1:9">
      <c r="A117" s="2" t="s">
        <v>121</v>
      </c>
      <c r="B117" s="2" t="s">
        <v>41</v>
      </c>
      <c r="C117" s="3">
        <v>43011</v>
      </c>
      <c r="D117" s="5">
        <v>33</v>
      </c>
      <c r="E117" s="2" t="s">
        <v>40</v>
      </c>
      <c r="F117" s="2" t="s">
        <v>24</v>
      </c>
      <c r="G117" s="2" t="s">
        <v>21</v>
      </c>
      <c r="H117" s="4">
        <v>19</v>
      </c>
      <c r="I11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18" spans="1:9">
      <c r="A118" s="2" t="s">
        <v>119</v>
      </c>
      <c r="B118" s="2" t="s">
        <v>39</v>
      </c>
      <c r="C118" s="3">
        <v>43013</v>
      </c>
      <c r="D118" s="5">
        <v>31</v>
      </c>
      <c r="E118" s="2" t="s">
        <v>33</v>
      </c>
      <c r="F118" s="2" t="s">
        <v>18</v>
      </c>
      <c r="G118" s="2" t="s">
        <v>16</v>
      </c>
      <c r="H118" s="4">
        <v>35</v>
      </c>
      <c r="I11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19" spans="1:9">
      <c r="A119" s="2" t="s">
        <v>120</v>
      </c>
      <c r="B119" s="2" t="s">
        <v>39</v>
      </c>
      <c r="C119" s="3">
        <v>43013</v>
      </c>
      <c r="D119" s="5">
        <v>32</v>
      </c>
      <c r="E119" s="2" t="s">
        <v>40</v>
      </c>
      <c r="F119" s="2" t="s">
        <v>20</v>
      </c>
      <c r="G119" s="2" t="s">
        <v>19</v>
      </c>
      <c r="H119" s="4">
        <v>39</v>
      </c>
      <c r="I11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20" spans="1:9">
      <c r="A120" s="2" t="s">
        <v>118</v>
      </c>
      <c r="B120" s="2" t="s">
        <v>38</v>
      </c>
      <c r="C120" s="3">
        <v>43014</v>
      </c>
      <c r="D120" s="5">
        <v>30</v>
      </c>
      <c r="E120" s="2" t="s">
        <v>33</v>
      </c>
      <c r="F120" s="2" t="s">
        <v>15</v>
      </c>
      <c r="G120" s="2" t="s">
        <v>14</v>
      </c>
      <c r="H120" s="4">
        <v>21</v>
      </c>
      <c r="I12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21" spans="1:9">
      <c r="A121" s="2" t="s">
        <v>117</v>
      </c>
      <c r="B121" s="2" t="s">
        <v>38</v>
      </c>
      <c r="C121" s="3">
        <v>43024</v>
      </c>
      <c r="D121" s="5">
        <v>29</v>
      </c>
      <c r="E121" s="2" t="s">
        <v>33</v>
      </c>
      <c r="F121" s="2" t="s">
        <v>13</v>
      </c>
      <c r="G121" s="2" t="s">
        <v>11</v>
      </c>
      <c r="H121" s="4">
        <v>32</v>
      </c>
      <c r="I12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22" spans="1:9">
      <c r="A122" s="2" t="s">
        <v>116</v>
      </c>
      <c r="B122" s="2" t="s">
        <v>37</v>
      </c>
      <c r="C122" s="3">
        <v>43026</v>
      </c>
      <c r="D122" s="5">
        <v>28</v>
      </c>
      <c r="E122" s="2" t="s">
        <v>33</v>
      </c>
      <c r="F122" s="2" t="s">
        <v>10</v>
      </c>
      <c r="G122" s="2" t="s">
        <v>25</v>
      </c>
      <c r="H122" s="4">
        <v>10</v>
      </c>
      <c r="I12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23" spans="1:9">
      <c r="A123" s="2" t="s">
        <v>115</v>
      </c>
      <c r="B123" s="2" t="s">
        <v>37</v>
      </c>
      <c r="C123" s="3">
        <v>43027</v>
      </c>
      <c r="D123" s="5">
        <v>27</v>
      </c>
      <c r="E123" s="2" t="s">
        <v>33</v>
      </c>
      <c r="F123" s="2" t="s">
        <v>24</v>
      </c>
      <c r="G123" s="2" t="s">
        <v>23</v>
      </c>
      <c r="H123" s="4">
        <v>27</v>
      </c>
      <c r="I12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24" spans="1:9">
      <c r="A124" s="2" t="s">
        <v>113</v>
      </c>
      <c r="B124" s="2" t="s">
        <v>36</v>
      </c>
      <c r="C124" s="3">
        <v>43028</v>
      </c>
      <c r="D124" s="5">
        <v>25</v>
      </c>
      <c r="E124" s="2" t="s">
        <v>33</v>
      </c>
      <c r="F124" s="2" t="s">
        <v>18</v>
      </c>
      <c r="G124" s="2" t="s">
        <v>19</v>
      </c>
      <c r="H124" s="4">
        <v>40</v>
      </c>
      <c r="I12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25" spans="1:9">
      <c r="A125" s="2" t="s">
        <v>114</v>
      </c>
      <c r="B125" s="2" t="s">
        <v>36</v>
      </c>
      <c r="C125" s="3">
        <v>43028</v>
      </c>
      <c r="D125" s="5">
        <v>26</v>
      </c>
      <c r="E125" s="2" t="s">
        <v>33</v>
      </c>
      <c r="F125" s="2" t="s">
        <v>20</v>
      </c>
      <c r="G125" s="2" t="s">
        <v>21</v>
      </c>
      <c r="H125" s="4">
        <v>14</v>
      </c>
      <c r="I12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26" spans="1:9">
      <c r="A126" s="2" t="s">
        <v>112</v>
      </c>
      <c r="B126" s="2" t="s">
        <v>35</v>
      </c>
      <c r="C126" s="3">
        <v>43032</v>
      </c>
      <c r="D126" s="5">
        <v>24</v>
      </c>
      <c r="E126" s="2" t="s">
        <v>33</v>
      </c>
      <c r="F126" s="2" t="s">
        <v>15</v>
      </c>
      <c r="G126" s="2" t="s">
        <v>16</v>
      </c>
      <c r="H126" s="4">
        <v>34</v>
      </c>
      <c r="I12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27" spans="1:9">
      <c r="A127" s="2" t="s">
        <v>111</v>
      </c>
      <c r="B127" s="2" t="s">
        <v>35</v>
      </c>
      <c r="C127" s="3">
        <v>43033</v>
      </c>
      <c r="D127" s="5">
        <v>23</v>
      </c>
      <c r="E127" s="2" t="s">
        <v>33</v>
      </c>
      <c r="F127" s="2" t="s">
        <v>13</v>
      </c>
      <c r="G127" s="2" t="s">
        <v>14</v>
      </c>
      <c r="H127" s="4">
        <v>15</v>
      </c>
      <c r="I1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28" spans="1:9">
      <c r="A128" s="2" t="s">
        <v>110</v>
      </c>
      <c r="B128" s="2" t="s">
        <v>34</v>
      </c>
      <c r="C128" s="3">
        <v>43034</v>
      </c>
      <c r="D128" s="5">
        <v>22</v>
      </c>
      <c r="E128" s="2" t="s">
        <v>33</v>
      </c>
      <c r="F128" s="2" t="s">
        <v>10</v>
      </c>
      <c r="G128" s="2" t="s">
        <v>11</v>
      </c>
      <c r="H128" s="4">
        <v>28</v>
      </c>
      <c r="I12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29" spans="1:9">
      <c r="A129" s="2" t="s">
        <v>109</v>
      </c>
      <c r="B129" s="2" t="s">
        <v>34</v>
      </c>
      <c r="C129" s="3">
        <v>43036</v>
      </c>
      <c r="D129" s="5">
        <v>21</v>
      </c>
      <c r="E129" s="2" t="s">
        <v>33</v>
      </c>
      <c r="F129" s="2" t="s">
        <v>30</v>
      </c>
      <c r="G129" s="2" t="s">
        <v>25</v>
      </c>
      <c r="H129" s="4">
        <v>36</v>
      </c>
      <c r="I12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30" spans="1:9">
      <c r="A130" s="2" t="s">
        <v>107</v>
      </c>
      <c r="B130" s="2" t="s">
        <v>32</v>
      </c>
      <c r="C130" s="3">
        <v>43037</v>
      </c>
      <c r="D130" s="5">
        <v>19</v>
      </c>
      <c r="E130" s="2" t="s">
        <v>33</v>
      </c>
      <c r="F130" s="2" t="s">
        <v>20</v>
      </c>
      <c r="G130" s="2" t="s">
        <v>21</v>
      </c>
      <c r="H130" s="4">
        <v>39</v>
      </c>
      <c r="I13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31" spans="1:9">
      <c r="A131" s="2" t="s">
        <v>108</v>
      </c>
      <c r="B131" s="2" t="s">
        <v>32</v>
      </c>
      <c r="C131" s="3">
        <v>43037</v>
      </c>
      <c r="D131" s="5">
        <v>20</v>
      </c>
      <c r="E131" s="2" t="s">
        <v>33</v>
      </c>
      <c r="F131" s="2" t="s">
        <v>24</v>
      </c>
      <c r="G131" s="2" t="s">
        <v>23</v>
      </c>
      <c r="H131" s="4">
        <v>25</v>
      </c>
      <c r="I13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32" spans="1:9">
      <c r="A132" s="2" t="s">
        <v>106</v>
      </c>
      <c r="B132" s="2" t="s">
        <v>32</v>
      </c>
      <c r="C132" s="3">
        <v>43040</v>
      </c>
      <c r="D132" s="5">
        <v>18</v>
      </c>
      <c r="E132" s="2" t="s">
        <v>9</v>
      </c>
      <c r="F132" s="2" t="s">
        <v>18</v>
      </c>
      <c r="G132" s="2" t="s">
        <v>19</v>
      </c>
      <c r="H132" s="4">
        <v>38</v>
      </c>
      <c r="I13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33" spans="1:9">
      <c r="A133" s="2" t="s">
        <v>105</v>
      </c>
      <c r="B133" s="2" t="s">
        <v>31</v>
      </c>
      <c r="C133" s="3">
        <v>43041</v>
      </c>
      <c r="D133" s="5">
        <v>17</v>
      </c>
      <c r="E133" s="2" t="s">
        <v>9</v>
      </c>
      <c r="F133" s="2" t="s">
        <v>15</v>
      </c>
      <c r="G133" s="2" t="s">
        <v>16</v>
      </c>
      <c r="H133" s="4">
        <v>23</v>
      </c>
      <c r="I13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34" spans="1:9">
      <c r="A134" s="2" t="s">
        <v>104</v>
      </c>
      <c r="B134" s="2" t="s">
        <v>31</v>
      </c>
      <c r="C134" s="3">
        <v>43049</v>
      </c>
      <c r="D134" s="5">
        <v>16</v>
      </c>
      <c r="E134" s="2" t="s">
        <v>9</v>
      </c>
      <c r="F134" s="2" t="s">
        <v>13</v>
      </c>
      <c r="G134" s="2" t="s">
        <v>14</v>
      </c>
      <c r="H134" s="4">
        <v>34</v>
      </c>
      <c r="I1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35" spans="1:9">
      <c r="A135" s="2" t="s">
        <v>103</v>
      </c>
      <c r="B135" s="2" t="s">
        <v>29</v>
      </c>
      <c r="C135" s="3">
        <v>43052</v>
      </c>
      <c r="D135" s="5">
        <v>15</v>
      </c>
      <c r="E135" s="2" t="s">
        <v>9</v>
      </c>
      <c r="F135" s="2" t="s">
        <v>10</v>
      </c>
      <c r="G135" s="2" t="s">
        <v>11</v>
      </c>
      <c r="H135" s="4">
        <v>32</v>
      </c>
      <c r="I13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36" spans="1:9">
      <c r="A136" s="2" t="s">
        <v>102</v>
      </c>
      <c r="B136" s="2" t="s">
        <v>29</v>
      </c>
      <c r="C136" s="3">
        <v>43055</v>
      </c>
      <c r="D136" s="5">
        <v>14</v>
      </c>
      <c r="E136" s="2"/>
      <c r="F136" s="2" t="s">
        <v>30</v>
      </c>
      <c r="G136" s="2" t="s">
        <v>16</v>
      </c>
      <c r="H136" s="4">
        <v>33</v>
      </c>
      <c r="I13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37" spans="1:9">
      <c r="A137" s="2" t="s">
        <v>101</v>
      </c>
      <c r="B137" s="2" t="s">
        <v>28</v>
      </c>
      <c r="C137" s="3">
        <v>43058</v>
      </c>
      <c r="D137" s="5">
        <v>13</v>
      </c>
      <c r="E137" s="2" t="s">
        <v>383</v>
      </c>
      <c r="F137" s="2" t="s">
        <v>24</v>
      </c>
      <c r="G137" s="2" t="s">
        <v>23</v>
      </c>
      <c r="H137" s="4">
        <v>11</v>
      </c>
      <c r="I13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38" spans="1:9">
      <c r="A138" s="2" t="s">
        <v>100</v>
      </c>
      <c r="B138" s="2" t="s">
        <v>28</v>
      </c>
      <c r="C138" s="3">
        <v>43059</v>
      </c>
      <c r="D138" s="5">
        <v>12</v>
      </c>
      <c r="E138" s="2" t="s">
        <v>385</v>
      </c>
      <c r="F138" s="2" t="s">
        <v>20</v>
      </c>
      <c r="G138" s="2" t="s">
        <v>21</v>
      </c>
      <c r="H138" s="4">
        <v>17</v>
      </c>
      <c r="I13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39" spans="1:9">
      <c r="A139" s="2" t="s">
        <v>99</v>
      </c>
      <c r="B139" s="2" t="s">
        <v>27</v>
      </c>
      <c r="C139" s="3">
        <v>43067</v>
      </c>
      <c r="D139" s="5">
        <v>11</v>
      </c>
      <c r="E139" s="2" t="s">
        <v>383</v>
      </c>
      <c r="F139" s="2" t="s">
        <v>18</v>
      </c>
      <c r="G139" s="2" t="s">
        <v>16</v>
      </c>
      <c r="H139" s="4">
        <v>24</v>
      </c>
      <c r="I13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0" spans="1:9">
      <c r="A140" s="2" t="s">
        <v>250</v>
      </c>
      <c r="B140" s="2" t="s">
        <v>27</v>
      </c>
      <c r="C140" s="3">
        <v>43067</v>
      </c>
      <c r="D140" s="5">
        <v>150</v>
      </c>
      <c r="E140" s="2" t="s">
        <v>9</v>
      </c>
      <c r="F140" s="2" t="s">
        <v>18</v>
      </c>
      <c r="G140" s="2" t="s">
        <v>19</v>
      </c>
      <c r="H140" s="4">
        <v>24</v>
      </c>
      <c r="I14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1" spans="1:9">
      <c r="A141" s="2" t="s">
        <v>272</v>
      </c>
      <c r="B141" s="2" t="s">
        <v>27</v>
      </c>
      <c r="C141" s="3">
        <v>43067</v>
      </c>
      <c r="D141" s="5">
        <v>165</v>
      </c>
      <c r="E141" s="2" t="s">
        <v>9</v>
      </c>
      <c r="F141" s="2" t="s">
        <v>18</v>
      </c>
      <c r="G141" s="2" t="s">
        <v>19</v>
      </c>
      <c r="H141" s="4">
        <v>24</v>
      </c>
      <c r="I14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2" spans="1:9">
      <c r="A142" s="2" t="s">
        <v>287</v>
      </c>
      <c r="B142" s="2" t="s">
        <v>27</v>
      </c>
      <c r="C142" s="3">
        <v>43067</v>
      </c>
      <c r="D142" s="5">
        <v>180</v>
      </c>
      <c r="E142" s="2" t="s">
        <v>9</v>
      </c>
      <c r="F142" s="2" t="s">
        <v>18</v>
      </c>
      <c r="G142" s="2" t="s">
        <v>19</v>
      </c>
      <c r="H142" s="4">
        <v>24</v>
      </c>
      <c r="I14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3" spans="1:9">
      <c r="A143" s="2" t="s">
        <v>302</v>
      </c>
      <c r="B143" s="2" t="s">
        <v>27</v>
      </c>
      <c r="C143" s="3">
        <v>43067</v>
      </c>
      <c r="D143" s="5">
        <v>195</v>
      </c>
      <c r="E143" s="2" t="s">
        <v>9</v>
      </c>
      <c r="F143" s="2" t="s">
        <v>18</v>
      </c>
      <c r="G143" s="2" t="s">
        <v>19</v>
      </c>
      <c r="H143" s="4">
        <v>24</v>
      </c>
      <c r="I14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4" spans="1:9">
      <c r="A144" s="2" t="s">
        <v>317</v>
      </c>
      <c r="B144" s="2" t="s">
        <v>27</v>
      </c>
      <c r="C144" s="3">
        <v>43067</v>
      </c>
      <c r="D144" s="5">
        <v>210</v>
      </c>
      <c r="E144" s="2" t="s">
        <v>9</v>
      </c>
      <c r="F144" s="2" t="s">
        <v>18</v>
      </c>
      <c r="G144" s="2" t="s">
        <v>19</v>
      </c>
      <c r="H144" s="4">
        <v>24</v>
      </c>
      <c r="I14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5" spans="1:9">
      <c r="A145" s="2" t="s">
        <v>332</v>
      </c>
      <c r="B145" s="2" t="s">
        <v>27</v>
      </c>
      <c r="C145" s="3">
        <v>43067</v>
      </c>
      <c r="D145" s="5">
        <v>225</v>
      </c>
      <c r="E145" s="2" t="s">
        <v>9</v>
      </c>
      <c r="F145" s="2" t="s">
        <v>18</v>
      </c>
      <c r="G145" s="2" t="s">
        <v>19</v>
      </c>
      <c r="H145" s="4">
        <v>24</v>
      </c>
      <c r="I14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146" spans="1:9">
      <c r="A146" s="2" t="s">
        <v>98</v>
      </c>
      <c r="B146" s="2" t="s">
        <v>27</v>
      </c>
      <c r="C146" s="3">
        <v>43068</v>
      </c>
      <c r="D146" s="5">
        <v>10</v>
      </c>
      <c r="E146" s="2" t="s">
        <v>383</v>
      </c>
      <c r="F146" s="2" t="s">
        <v>13</v>
      </c>
      <c r="G146" s="2" t="s">
        <v>16</v>
      </c>
      <c r="H146" s="4">
        <v>24</v>
      </c>
      <c r="I14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47" spans="1:9">
      <c r="A147" s="2" t="s">
        <v>249</v>
      </c>
      <c r="B147" s="2" t="s">
        <v>27</v>
      </c>
      <c r="C147" s="3">
        <v>43068</v>
      </c>
      <c r="D147" s="5">
        <v>149</v>
      </c>
      <c r="E147" s="2" t="s">
        <v>9</v>
      </c>
      <c r="F147" s="2" t="s">
        <v>15</v>
      </c>
      <c r="G147" s="2" t="s">
        <v>16</v>
      </c>
      <c r="H147" s="4">
        <v>24</v>
      </c>
      <c r="I14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48" spans="1:9">
      <c r="A148" s="2" t="s">
        <v>271</v>
      </c>
      <c r="B148" s="2" t="s">
        <v>27</v>
      </c>
      <c r="C148" s="3">
        <v>43068</v>
      </c>
      <c r="D148" s="5">
        <v>164</v>
      </c>
      <c r="E148" s="2" t="s">
        <v>9</v>
      </c>
      <c r="F148" s="2" t="s">
        <v>15</v>
      </c>
      <c r="G148" s="2" t="s">
        <v>16</v>
      </c>
      <c r="H148" s="4">
        <v>24</v>
      </c>
      <c r="I14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49" spans="1:9">
      <c r="A149" s="2" t="s">
        <v>286</v>
      </c>
      <c r="B149" s="2" t="s">
        <v>27</v>
      </c>
      <c r="C149" s="3">
        <v>43068</v>
      </c>
      <c r="D149" s="5">
        <v>179</v>
      </c>
      <c r="E149" s="2" t="s">
        <v>9</v>
      </c>
      <c r="F149" s="2" t="s">
        <v>15</v>
      </c>
      <c r="G149" s="2" t="s">
        <v>16</v>
      </c>
      <c r="H149" s="4">
        <v>24</v>
      </c>
      <c r="I14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50" spans="1:9">
      <c r="A150" s="2" t="s">
        <v>301</v>
      </c>
      <c r="B150" s="2" t="s">
        <v>27</v>
      </c>
      <c r="C150" s="3">
        <v>43068</v>
      </c>
      <c r="D150" s="5">
        <v>194</v>
      </c>
      <c r="E150" s="2" t="s">
        <v>9</v>
      </c>
      <c r="F150" s="2" t="s">
        <v>15</v>
      </c>
      <c r="G150" s="2" t="s">
        <v>16</v>
      </c>
      <c r="H150" s="4">
        <v>24</v>
      </c>
      <c r="I15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51" spans="1:9">
      <c r="A151" s="2" t="s">
        <v>316</v>
      </c>
      <c r="B151" s="2" t="s">
        <v>27</v>
      </c>
      <c r="C151" s="3">
        <v>43068</v>
      </c>
      <c r="D151" s="5">
        <v>209</v>
      </c>
      <c r="E151" s="2" t="s">
        <v>9</v>
      </c>
      <c r="F151" s="2" t="s">
        <v>15</v>
      </c>
      <c r="G151" s="2" t="s">
        <v>16</v>
      </c>
      <c r="H151" s="4">
        <v>24</v>
      </c>
      <c r="I15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52" spans="1:9">
      <c r="A152" s="2" t="s">
        <v>331</v>
      </c>
      <c r="B152" s="2" t="s">
        <v>27</v>
      </c>
      <c r="C152" s="3">
        <v>43068</v>
      </c>
      <c r="D152" s="5">
        <v>224</v>
      </c>
      <c r="E152" s="2" t="s">
        <v>9</v>
      </c>
      <c r="F152" s="2" t="s">
        <v>15</v>
      </c>
      <c r="G152" s="2" t="s">
        <v>16</v>
      </c>
      <c r="H152" s="4">
        <v>24</v>
      </c>
      <c r="I15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153" spans="1:9">
      <c r="A153" s="2" t="s">
        <v>97</v>
      </c>
      <c r="B153" s="2" t="s">
        <v>26</v>
      </c>
      <c r="C153" s="3">
        <v>43069</v>
      </c>
      <c r="D153" s="5">
        <v>9</v>
      </c>
      <c r="E153" s="2" t="s">
        <v>385</v>
      </c>
      <c r="F153" s="2" t="s">
        <v>13</v>
      </c>
      <c r="G153" s="2" t="s">
        <v>14</v>
      </c>
      <c r="H153" s="4">
        <v>30</v>
      </c>
      <c r="I15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4" spans="1:9">
      <c r="A154" s="2" t="s">
        <v>248</v>
      </c>
      <c r="B154" s="2" t="s">
        <v>26</v>
      </c>
      <c r="C154" s="3">
        <v>43069</v>
      </c>
      <c r="D154" s="5">
        <v>148</v>
      </c>
      <c r="E154" s="2" t="s">
        <v>9</v>
      </c>
      <c r="F154" s="2" t="s">
        <v>13</v>
      </c>
      <c r="G154" s="2" t="s">
        <v>14</v>
      </c>
      <c r="H154" s="4">
        <v>30</v>
      </c>
      <c r="I15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5" spans="1:9">
      <c r="A155" s="2" t="s">
        <v>251</v>
      </c>
      <c r="B155" s="2" t="s">
        <v>8</v>
      </c>
      <c r="C155" s="3">
        <v>43069</v>
      </c>
      <c r="D155" s="5">
        <v>151</v>
      </c>
      <c r="E155" s="2" t="s">
        <v>9</v>
      </c>
      <c r="F155" s="2" t="s">
        <v>13</v>
      </c>
      <c r="G155" s="2" t="s">
        <v>14</v>
      </c>
      <c r="H155" s="4">
        <v>30</v>
      </c>
      <c r="I15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6" spans="1:9">
      <c r="A156" s="2" t="s">
        <v>252</v>
      </c>
      <c r="B156" s="2" t="s">
        <v>12</v>
      </c>
      <c r="C156" s="3">
        <v>43069</v>
      </c>
      <c r="D156" s="5">
        <v>152</v>
      </c>
      <c r="E156" s="2" t="s">
        <v>9</v>
      </c>
      <c r="F156" s="2" t="s">
        <v>13</v>
      </c>
      <c r="G156" s="2" t="s">
        <v>14</v>
      </c>
      <c r="H156" s="4">
        <v>30</v>
      </c>
      <c r="I15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7" spans="1:9">
      <c r="A157" s="2" t="s">
        <v>253</v>
      </c>
      <c r="B157" s="2" t="s">
        <v>12</v>
      </c>
      <c r="C157" s="3">
        <v>43069</v>
      </c>
      <c r="D157" s="5">
        <v>153</v>
      </c>
      <c r="E157" s="2" t="s">
        <v>9</v>
      </c>
      <c r="F157" s="2" t="s">
        <v>13</v>
      </c>
      <c r="G157" s="2" t="s">
        <v>14</v>
      </c>
      <c r="H157" s="4">
        <v>30</v>
      </c>
      <c r="I15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8" spans="1:9">
      <c r="A158" s="2" t="s">
        <v>254</v>
      </c>
      <c r="B158" s="2" t="s">
        <v>17</v>
      </c>
      <c r="C158" s="3">
        <v>43069</v>
      </c>
      <c r="D158" s="5">
        <v>154</v>
      </c>
      <c r="E158" s="2" t="s">
        <v>9</v>
      </c>
      <c r="F158" s="2" t="s">
        <v>13</v>
      </c>
      <c r="G158" s="2" t="s">
        <v>14</v>
      </c>
      <c r="H158" s="4">
        <v>30</v>
      </c>
      <c r="I15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59" spans="1:9">
      <c r="A159" s="2" t="s">
        <v>255</v>
      </c>
      <c r="B159" s="2" t="s">
        <v>17</v>
      </c>
      <c r="C159" s="3">
        <v>43069</v>
      </c>
      <c r="D159" s="5">
        <v>155</v>
      </c>
      <c r="E159" s="2" t="s">
        <v>9</v>
      </c>
      <c r="F159" s="2" t="s">
        <v>13</v>
      </c>
      <c r="G159" s="2" t="s">
        <v>14</v>
      </c>
      <c r="H159" s="4">
        <v>30</v>
      </c>
      <c r="I15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0" spans="1:9">
      <c r="A160" s="2" t="s">
        <v>256</v>
      </c>
      <c r="B160" s="2" t="s">
        <v>22</v>
      </c>
      <c r="C160" s="3">
        <v>43069</v>
      </c>
      <c r="D160" s="5">
        <v>156</v>
      </c>
      <c r="E160" s="2" t="s">
        <v>9</v>
      </c>
      <c r="F160" s="2" t="s">
        <v>13</v>
      </c>
      <c r="G160" s="2" t="s">
        <v>14</v>
      </c>
      <c r="H160" s="4">
        <v>30</v>
      </c>
      <c r="I16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1" spans="1:9">
      <c r="A161" s="2" t="s">
        <v>257</v>
      </c>
      <c r="B161" s="2" t="s">
        <v>22</v>
      </c>
      <c r="C161" s="3">
        <v>43069</v>
      </c>
      <c r="D161" s="5">
        <v>157</v>
      </c>
      <c r="E161" s="2" t="s">
        <v>9</v>
      </c>
      <c r="F161" s="2" t="s">
        <v>13</v>
      </c>
      <c r="G161" s="2" t="s">
        <v>14</v>
      </c>
      <c r="H161" s="4">
        <v>30</v>
      </c>
      <c r="I16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2" spans="1:9">
      <c r="A162" s="2" t="s">
        <v>258</v>
      </c>
      <c r="B162" s="2" t="s">
        <v>8</v>
      </c>
      <c r="C162" s="3">
        <v>43069</v>
      </c>
      <c r="D162" s="5">
        <v>158</v>
      </c>
      <c r="E162" s="2" t="s">
        <v>9</v>
      </c>
      <c r="F162" s="2" t="s">
        <v>13</v>
      </c>
      <c r="G162" s="2" t="s">
        <v>14</v>
      </c>
      <c r="H162" s="4">
        <v>30</v>
      </c>
      <c r="I16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3" spans="1:9">
      <c r="A163" s="2" t="s">
        <v>264</v>
      </c>
      <c r="B163" s="2" t="s">
        <v>265</v>
      </c>
      <c r="C163" s="3">
        <v>43069</v>
      </c>
      <c r="D163" s="5">
        <v>158</v>
      </c>
      <c r="E163" s="2" t="s">
        <v>9</v>
      </c>
      <c r="F163" s="2" t="s">
        <v>13</v>
      </c>
      <c r="G163" s="2" t="s">
        <v>14</v>
      </c>
      <c r="H163" s="4">
        <v>26</v>
      </c>
      <c r="I16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4" spans="1:9">
      <c r="A164" s="2" t="s">
        <v>270</v>
      </c>
      <c r="B164" s="2" t="s">
        <v>26</v>
      </c>
      <c r="C164" s="3">
        <v>43069</v>
      </c>
      <c r="D164" s="5">
        <v>163</v>
      </c>
      <c r="E164" s="2" t="s">
        <v>9</v>
      </c>
      <c r="F164" s="2" t="s">
        <v>13</v>
      </c>
      <c r="G164" s="2" t="s">
        <v>14</v>
      </c>
      <c r="H164" s="4">
        <v>30</v>
      </c>
      <c r="I16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5" spans="1:9">
      <c r="A165" s="2" t="s">
        <v>273</v>
      </c>
      <c r="B165" s="2" t="s">
        <v>8</v>
      </c>
      <c r="C165" s="3">
        <v>43069</v>
      </c>
      <c r="D165" s="5">
        <v>166</v>
      </c>
      <c r="E165" s="2" t="s">
        <v>9</v>
      </c>
      <c r="F165" s="2" t="s">
        <v>13</v>
      </c>
      <c r="G165" s="2" t="s">
        <v>14</v>
      </c>
      <c r="H165" s="4">
        <v>30</v>
      </c>
      <c r="I16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6" spans="1:9">
      <c r="A166" s="2" t="s">
        <v>274</v>
      </c>
      <c r="B166" s="2" t="s">
        <v>12</v>
      </c>
      <c r="C166" s="3">
        <v>43069</v>
      </c>
      <c r="D166" s="5">
        <v>167</v>
      </c>
      <c r="E166" s="2" t="s">
        <v>9</v>
      </c>
      <c r="F166" s="2" t="s">
        <v>13</v>
      </c>
      <c r="G166" s="2" t="s">
        <v>14</v>
      </c>
      <c r="H166" s="4">
        <v>30</v>
      </c>
      <c r="I16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7" spans="1:9">
      <c r="A167" s="2" t="s">
        <v>275</v>
      </c>
      <c r="B167" s="2" t="s">
        <v>12</v>
      </c>
      <c r="C167" s="3">
        <v>43069</v>
      </c>
      <c r="D167" s="5">
        <v>168</v>
      </c>
      <c r="E167" s="2" t="s">
        <v>9</v>
      </c>
      <c r="F167" s="2" t="s">
        <v>13</v>
      </c>
      <c r="G167" s="2" t="s">
        <v>14</v>
      </c>
      <c r="H167" s="4">
        <v>30</v>
      </c>
      <c r="I16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8" spans="1:9">
      <c r="A168" s="2" t="s">
        <v>276</v>
      </c>
      <c r="B168" s="2" t="s">
        <v>17</v>
      </c>
      <c r="C168" s="3">
        <v>43069</v>
      </c>
      <c r="D168" s="5">
        <v>169</v>
      </c>
      <c r="E168" s="2" t="s">
        <v>9</v>
      </c>
      <c r="F168" s="2" t="s">
        <v>13</v>
      </c>
      <c r="G168" s="2" t="s">
        <v>14</v>
      </c>
      <c r="H168" s="4">
        <v>30</v>
      </c>
      <c r="I16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69" spans="1:9">
      <c r="A169" s="2" t="s">
        <v>277</v>
      </c>
      <c r="B169" s="2" t="s">
        <v>17</v>
      </c>
      <c r="C169" s="3">
        <v>43069</v>
      </c>
      <c r="D169" s="5">
        <v>170</v>
      </c>
      <c r="E169" s="2" t="s">
        <v>9</v>
      </c>
      <c r="F169" s="2" t="s">
        <v>13</v>
      </c>
      <c r="G169" s="2" t="s">
        <v>14</v>
      </c>
      <c r="H169" s="4">
        <v>30</v>
      </c>
      <c r="I16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0" spans="1:9">
      <c r="A170" s="2" t="s">
        <v>278</v>
      </c>
      <c r="B170" s="2" t="s">
        <v>22</v>
      </c>
      <c r="C170" s="3">
        <v>43069</v>
      </c>
      <c r="D170" s="5">
        <v>171</v>
      </c>
      <c r="E170" s="2" t="s">
        <v>9</v>
      </c>
      <c r="F170" s="2" t="s">
        <v>13</v>
      </c>
      <c r="G170" s="2" t="s">
        <v>14</v>
      </c>
      <c r="H170" s="4">
        <v>30</v>
      </c>
      <c r="I17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1" spans="1:9">
      <c r="A171" s="2" t="s">
        <v>279</v>
      </c>
      <c r="B171" s="2" t="s">
        <v>22</v>
      </c>
      <c r="C171" s="3">
        <v>43069</v>
      </c>
      <c r="D171" s="5">
        <v>172</v>
      </c>
      <c r="E171" s="2" t="s">
        <v>9</v>
      </c>
      <c r="F171" s="2" t="s">
        <v>13</v>
      </c>
      <c r="G171" s="2" t="s">
        <v>14</v>
      </c>
      <c r="H171" s="4">
        <v>30</v>
      </c>
      <c r="I17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2" spans="1:9">
      <c r="A172" s="2" t="s">
        <v>280</v>
      </c>
      <c r="B172" s="2" t="s">
        <v>8</v>
      </c>
      <c r="C172" s="3">
        <v>43069</v>
      </c>
      <c r="D172" s="5">
        <v>173</v>
      </c>
      <c r="E172" s="2" t="s">
        <v>9</v>
      </c>
      <c r="F172" s="2" t="s">
        <v>13</v>
      </c>
      <c r="G172" s="2" t="s">
        <v>14</v>
      </c>
      <c r="H172" s="4">
        <v>30</v>
      </c>
      <c r="I17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3" spans="1:9">
      <c r="A173" s="2" t="s">
        <v>285</v>
      </c>
      <c r="B173" s="2" t="s">
        <v>26</v>
      </c>
      <c r="C173" s="3">
        <v>43069</v>
      </c>
      <c r="D173" s="5">
        <v>178</v>
      </c>
      <c r="E173" s="2" t="s">
        <v>9</v>
      </c>
      <c r="F173" s="2" t="s">
        <v>13</v>
      </c>
      <c r="G173" s="2" t="s">
        <v>14</v>
      </c>
      <c r="H173" s="4">
        <v>30</v>
      </c>
      <c r="I17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4" spans="1:9">
      <c r="A174" s="2" t="s">
        <v>288</v>
      </c>
      <c r="B174" s="2" t="s">
        <v>8</v>
      </c>
      <c r="C174" s="3">
        <v>43069</v>
      </c>
      <c r="D174" s="5">
        <v>181</v>
      </c>
      <c r="E174" s="2" t="s">
        <v>9</v>
      </c>
      <c r="F174" s="2" t="s">
        <v>13</v>
      </c>
      <c r="G174" s="2" t="s">
        <v>14</v>
      </c>
      <c r="H174" s="4">
        <v>30</v>
      </c>
      <c r="I17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5" spans="1:9">
      <c r="A175" s="2" t="s">
        <v>289</v>
      </c>
      <c r="B175" s="2" t="s">
        <v>12</v>
      </c>
      <c r="C175" s="3">
        <v>43069</v>
      </c>
      <c r="D175" s="5">
        <v>182</v>
      </c>
      <c r="E175" s="2" t="s">
        <v>9</v>
      </c>
      <c r="F175" s="2" t="s">
        <v>13</v>
      </c>
      <c r="G175" s="2" t="s">
        <v>14</v>
      </c>
      <c r="H175" s="4">
        <v>30</v>
      </c>
      <c r="I17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6" spans="1:9">
      <c r="A176" s="2" t="s">
        <v>290</v>
      </c>
      <c r="B176" s="2" t="s">
        <v>12</v>
      </c>
      <c r="C176" s="3">
        <v>43069</v>
      </c>
      <c r="D176" s="5">
        <v>183</v>
      </c>
      <c r="E176" s="2" t="s">
        <v>9</v>
      </c>
      <c r="F176" s="2" t="s">
        <v>13</v>
      </c>
      <c r="G176" s="2" t="s">
        <v>14</v>
      </c>
      <c r="H176" s="4">
        <v>30</v>
      </c>
      <c r="I17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7" spans="1:9">
      <c r="A177" s="2" t="s">
        <v>291</v>
      </c>
      <c r="B177" s="2" t="s">
        <v>17</v>
      </c>
      <c r="C177" s="3">
        <v>43069</v>
      </c>
      <c r="D177" s="5">
        <v>184</v>
      </c>
      <c r="E177" s="2" t="s">
        <v>9</v>
      </c>
      <c r="F177" s="2" t="s">
        <v>13</v>
      </c>
      <c r="G177" s="2" t="s">
        <v>14</v>
      </c>
      <c r="H177" s="4">
        <v>30</v>
      </c>
      <c r="I17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8" spans="1:9">
      <c r="A178" s="2" t="s">
        <v>292</v>
      </c>
      <c r="B178" s="2" t="s">
        <v>17</v>
      </c>
      <c r="C178" s="3">
        <v>43069</v>
      </c>
      <c r="D178" s="5">
        <v>185</v>
      </c>
      <c r="E178" s="2" t="s">
        <v>9</v>
      </c>
      <c r="F178" s="2" t="s">
        <v>13</v>
      </c>
      <c r="G178" s="2" t="s">
        <v>14</v>
      </c>
      <c r="H178" s="4">
        <v>30</v>
      </c>
      <c r="I17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79" spans="1:9">
      <c r="A179" s="2" t="s">
        <v>293</v>
      </c>
      <c r="B179" s="2" t="s">
        <v>22</v>
      </c>
      <c r="C179" s="3">
        <v>43069</v>
      </c>
      <c r="D179" s="5">
        <v>186</v>
      </c>
      <c r="E179" s="2" t="s">
        <v>9</v>
      </c>
      <c r="F179" s="2" t="s">
        <v>13</v>
      </c>
      <c r="G179" s="2" t="s">
        <v>14</v>
      </c>
      <c r="H179" s="4">
        <v>30</v>
      </c>
      <c r="I17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0" spans="1:9">
      <c r="A180" s="2" t="s">
        <v>294</v>
      </c>
      <c r="B180" s="2" t="s">
        <v>22</v>
      </c>
      <c r="C180" s="3">
        <v>43069</v>
      </c>
      <c r="D180" s="5">
        <v>187</v>
      </c>
      <c r="E180" s="2" t="s">
        <v>9</v>
      </c>
      <c r="F180" s="2" t="s">
        <v>13</v>
      </c>
      <c r="G180" s="2" t="s">
        <v>14</v>
      </c>
      <c r="H180" s="4">
        <v>30</v>
      </c>
      <c r="I18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1" spans="1:9">
      <c r="A181" s="2" t="s">
        <v>295</v>
      </c>
      <c r="B181" s="2" t="s">
        <v>8</v>
      </c>
      <c r="C181" s="3">
        <v>43069</v>
      </c>
      <c r="D181" s="5">
        <v>188</v>
      </c>
      <c r="E181" s="2" t="s">
        <v>9</v>
      </c>
      <c r="F181" s="2" t="s">
        <v>13</v>
      </c>
      <c r="G181" s="2" t="s">
        <v>14</v>
      </c>
      <c r="H181" s="4">
        <v>30</v>
      </c>
      <c r="I18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2" spans="1:9">
      <c r="A182" s="2" t="s">
        <v>300</v>
      </c>
      <c r="B182" s="2" t="s">
        <v>26</v>
      </c>
      <c r="C182" s="3">
        <v>43069</v>
      </c>
      <c r="D182" s="5">
        <v>193</v>
      </c>
      <c r="E182" s="2" t="s">
        <v>9</v>
      </c>
      <c r="F182" s="2" t="s">
        <v>13</v>
      </c>
      <c r="G182" s="2" t="s">
        <v>14</v>
      </c>
      <c r="H182" s="4">
        <v>30</v>
      </c>
      <c r="I18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3" spans="1:9">
      <c r="A183" s="2" t="s">
        <v>303</v>
      </c>
      <c r="B183" s="2" t="s">
        <v>8</v>
      </c>
      <c r="C183" s="3">
        <v>43069</v>
      </c>
      <c r="D183" s="5">
        <v>196</v>
      </c>
      <c r="E183" s="2" t="s">
        <v>9</v>
      </c>
      <c r="F183" s="2" t="s">
        <v>13</v>
      </c>
      <c r="G183" s="2" t="s">
        <v>14</v>
      </c>
      <c r="H183" s="4">
        <v>30</v>
      </c>
      <c r="I18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4" spans="1:9">
      <c r="A184" s="2" t="s">
        <v>304</v>
      </c>
      <c r="B184" s="2" t="s">
        <v>12</v>
      </c>
      <c r="C184" s="3">
        <v>43069</v>
      </c>
      <c r="D184" s="5">
        <v>197</v>
      </c>
      <c r="E184" s="2" t="s">
        <v>9</v>
      </c>
      <c r="F184" s="2" t="s">
        <v>13</v>
      </c>
      <c r="G184" s="2" t="s">
        <v>14</v>
      </c>
      <c r="H184" s="4">
        <v>30</v>
      </c>
      <c r="I18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5" spans="1:9">
      <c r="A185" s="2" t="s">
        <v>305</v>
      </c>
      <c r="B185" s="2" t="s">
        <v>12</v>
      </c>
      <c r="C185" s="3">
        <v>43069</v>
      </c>
      <c r="D185" s="5">
        <v>198</v>
      </c>
      <c r="E185" s="2" t="s">
        <v>9</v>
      </c>
      <c r="F185" s="2" t="s">
        <v>13</v>
      </c>
      <c r="G185" s="2" t="s">
        <v>14</v>
      </c>
      <c r="H185" s="4">
        <v>30</v>
      </c>
      <c r="I18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6" spans="1:9">
      <c r="A186" s="2" t="s">
        <v>306</v>
      </c>
      <c r="B186" s="2" t="s">
        <v>17</v>
      </c>
      <c r="C186" s="3">
        <v>43069</v>
      </c>
      <c r="D186" s="5">
        <v>199</v>
      </c>
      <c r="E186" s="2" t="s">
        <v>9</v>
      </c>
      <c r="F186" s="2" t="s">
        <v>13</v>
      </c>
      <c r="G186" s="2" t="s">
        <v>14</v>
      </c>
      <c r="H186" s="4">
        <v>30</v>
      </c>
      <c r="I18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7" spans="1:9">
      <c r="A187" s="2" t="s">
        <v>307</v>
      </c>
      <c r="B187" s="2" t="s">
        <v>17</v>
      </c>
      <c r="C187" s="3">
        <v>43069</v>
      </c>
      <c r="D187" s="5">
        <v>200</v>
      </c>
      <c r="E187" s="2" t="s">
        <v>9</v>
      </c>
      <c r="F187" s="2" t="s">
        <v>13</v>
      </c>
      <c r="G187" s="2" t="s">
        <v>14</v>
      </c>
      <c r="H187" s="4">
        <v>30</v>
      </c>
      <c r="I18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8" spans="1:9">
      <c r="A188" s="2" t="s">
        <v>308</v>
      </c>
      <c r="B188" s="2" t="s">
        <v>22</v>
      </c>
      <c r="C188" s="3">
        <v>43069</v>
      </c>
      <c r="D188" s="5">
        <v>201</v>
      </c>
      <c r="E188" s="2" t="s">
        <v>9</v>
      </c>
      <c r="F188" s="2" t="s">
        <v>13</v>
      </c>
      <c r="G188" s="2" t="s">
        <v>14</v>
      </c>
      <c r="H188" s="4">
        <v>30</v>
      </c>
      <c r="I18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89" spans="1:9">
      <c r="A189" s="2" t="s">
        <v>309</v>
      </c>
      <c r="B189" s="2" t="s">
        <v>22</v>
      </c>
      <c r="C189" s="3">
        <v>43069</v>
      </c>
      <c r="D189" s="5">
        <v>202</v>
      </c>
      <c r="E189" s="2" t="s">
        <v>9</v>
      </c>
      <c r="F189" s="2" t="s">
        <v>13</v>
      </c>
      <c r="G189" s="2" t="s">
        <v>14</v>
      </c>
      <c r="H189" s="4">
        <v>30</v>
      </c>
      <c r="I18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0" spans="1:9">
      <c r="A190" s="2" t="s">
        <v>310</v>
      </c>
      <c r="B190" s="2" t="s">
        <v>8</v>
      </c>
      <c r="C190" s="3">
        <v>43069</v>
      </c>
      <c r="D190" s="5">
        <v>203</v>
      </c>
      <c r="E190" s="2" t="s">
        <v>9</v>
      </c>
      <c r="F190" s="2" t="s">
        <v>13</v>
      </c>
      <c r="G190" s="2" t="s">
        <v>14</v>
      </c>
      <c r="H190" s="4">
        <v>30</v>
      </c>
      <c r="I19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1" spans="1:9">
      <c r="A191" s="2" t="s">
        <v>315</v>
      </c>
      <c r="B191" s="2" t="s">
        <v>26</v>
      </c>
      <c r="C191" s="3">
        <v>43069</v>
      </c>
      <c r="D191" s="5">
        <v>208</v>
      </c>
      <c r="E191" s="2" t="s">
        <v>9</v>
      </c>
      <c r="F191" s="2" t="s">
        <v>13</v>
      </c>
      <c r="G191" s="2" t="s">
        <v>14</v>
      </c>
      <c r="H191" s="4">
        <v>30</v>
      </c>
      <c r="I19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2" spans="1:9">
      <c r="A192" s="2" t="s">
        <v>318</v>
      </c>
      <c r="B192" s="2" t="s">
        <v>8</v>
      </c>
      <c r="C192" s="3">
        <v>43069</v>
      </c>
      <c r="D192" s="5">
        <v>211</v>
      </c>
      <c r="E192" s="2" t="s">
        <v>9</v>
      </c>
      <c r="F192" s="2" t="s">
        <v>13</v>
      </c>
      <c r="G192" s="2" t="s">
        <v>14</v>
      </c>
      <c r="H192" s="4">
        <v>30</v>
      </c>
      <c r="I19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3" spans="1:9">
      <c r="A193" s="2" t="s">
        <v>319</v>
      </c>
      <c r="B193" s="2" t="s">
        <v>12</v>
      </c>
      <c r="C193" s="3">
        <v>43069</v>
      </c>
      <c r="D193" s="5">
        <v>212</v>
      </c>
      <c r="E193" s="2" t="s">
        <v>9</v>
      </c>
      <c r="F193" s="2" t="s">
        <v>13</v>
      </c>
      <c r="G193" s="2" t="s">
        <v>14</v>
      </c>
      <c r="H193" s="4">
        <v>30</v>
      </c>
      <c r="I19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4" spans="1:9">
      <c r="A194" s="2" t="s">
        <v>320</v>
      </c>
      <c r="B194" s="2" t="s">
        <v>12</v>
      </c>
      <c r="C194" s="3">
        <v>43069</v>
      </c>
      <c r="D194" s="5">
        <v>213</v>
      </c>
      <c r="E194" s="2" t="s">
        <v>9</v>
      </c>
      <c r="F194" s="2" t="s">
        <v>13</v>
      </c>
      <c r="G194" s="2" t="s">
        <v>14</v>
      </c>
      <c r="H194" s="4">
        <v>30</v>
      </c>
      <c r="I19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5" spans="1:9">
      <c r="A195" s="2" t="s">
        <v>321</v>
      </c>
      <c r="B195" s="2" t="s">
        <v>17</v>
      </c>
      <c r="C195" s="3">
        <v>43069</v>
      </c>
      <c r="D195" s="5">
        <v>214</v>
      </c>
      <c r="E195" s="2" t="s">
        <v>9</v>
      </c>
      <c r="F195" s="2" t="s">
        <v>13</v>
      </c>
      <c r="G195" s="2" t="s">
        <v>14</v>
      </c>
      <c r="H195" s="4">
        <v>30</v>
      </c>
      <c r="I19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6" spans="1:9">
      <c r="A196" s="2" t="s">
        <v>322</v>
      </c>
      <c r="B196" s="2" t="s">
        <v>17</v>
      </c>
      <c r="C196" s="3">
        <v>43069</v>
      </c>
      <c r="D196" s="5">
        <v>215</v>
      </c>
      <c r="E196" s="2" t="s">
        <v>9</v>
      </c>
      <c r="F196" s="2" t="s">
        <v>13</v>
      </c>
      <c r="G196" s="2" t="s">
        <v>14</v>
      </c>
      <c r="H196" s="4">
        <v>30</v>
      </c>
      <c r="I19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7" spans="1:9">
      <c r="A197" s="2" t="s">
        <v>323</v>
      </c>
      <c r="B197" s="2" t="s">
        <v>22</v>
      </c>
      <c r="C197" s="3">
        <v>43069</v>
      </c>
      <c r="D197" s="5">
        <v>216</v>
      </c>
      <c r="E197" s="2" t="s">
        <v>9</v>
      </c>
      <c r="F197" s="2" t="s">
        <v>13</v>
      </c>
      <c r="G197" s="2" t="s">
        <v>14</v>
      </c>
      <c r="H197" s="4">
        <v>30</v>
      </c>
      <c r="I19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8" spans="1:9">
      <c r="A198" s="2" t="s">
        <v>324</v>
      </c>
      <c r="B198" s="2" t="s">
        <v>22</v>
      </c>
      <c r="C198" s="3">
        <v>43069</v>
      </c>
      <c r="D198" s="5">
        <v>217</v>
      </c>
      <c r="E198" s="2" t="s">
        <v>9</v>
      </c>
      <c r="F198" s="2" t="s">
        <v>13</v>
      </c>
      <c r="G198" s="2" t="s">
        <v>14</v>
      </c>
      <c r="H198" s="4">
        <v>30</v>
      </c>
      <c r="I19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199" spans="1:9">
      <c r="A199" s="2" t="s">
        <v>325</v>
      </c>
      <c r="B199" s="2" t="s">
        <v>8</v>
      </c>
      <c r="C199" s="3">
        <v>43069</v>
      </c>
      <c r="D199" s="5">
        <v>218</v>
      </c>
      <c r="E199" s="2" t="s">
        <v>9</v>
      </c>
      <c r="F199" s="2" t="s">
        <v>13</v>
      </c>
      <c r="G199" s="2" t="s">
        <v>14</v>
      </c>
      <c r="H199" s="4">
        <v>30</v>
      </c>
      <c r="I19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0" spans="1:9">
      <c r="A200" s="2" t="s">
        <v>330</v>
      </c>
      <c r="B200" s="2" t="s">
        <v>26</v>
      </c>
      <c r="C200" s="3">
        <v>43069</v>
      </c>
      <c r="D200" s="5">
        <v>223</v>
      </c>
      <c r="E200" s="2" t="s">
        <v>9</v>
      </c>
      <c r="F200" s="2" t="s">
        <v>13</v>
      </c>
      <c r="G200" s="2" t="s">
        <v>14</v>
      </c>
      <c r="H200" s="4">
        <v>30</v>
      </c>
      <c r="I20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1" spans="1:9">
      <c r="A201" s="2" t="s">
        <v>333</v>
      </c>
      <c r="B201" s="2" t="s">
        <v>8</v>
      </c>
      <c r="C201" s="3">
        <v>43069</v>
      </c>
      <c r="D201" s="5">
        <v>226</v>
      </c>
      <c r="E201" s="2" t="s">
        <v>9</v>
      </c>
      <c r="F201" s="2" t="s">
        <v>13</v>
      </c>
      <c r="G201" s="2" t="s">
        <v>14</v>
      </c>
      <c r="H201" s="4">
        <v>30</v>
      </c>
      <c r="I20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2" spans="1:9">
      <c r="A202" s="2" t="s">
        <v>334</v>
      </c>
      <c r="B202" s="2" t="s">
        <v>12</v>
      </c>
      <c r="C202" s="3">
        <v>43069</v>
      </c>
      <c r="D202" s="5">
        <v>227</v>
      </c>
      <c r="E202" s="2" t="s">
        <v>9</v>
      </c>
      <c r="F202" s="2" t="s">
        <v>13</v>
      </c>
      <c r="G202" s="2" t="s">
        <v>14</v>
      </c>
      <c r="H202" s="4">
        <v>30</v>
      </c>
      <c r="I20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3" spans="1:9">
      <c r="A203" s="2" t="s">
        <v>335</v>
      </c>
      <c r="B203" s="2" t="s">
        <v>12</v>
      </c>
      <c r="C203" s="3">
        <v>43069</v>
      </c>
      <c r="D203" s="5">
        <v>228</v>
      </c>
      <c r="E203" s="2" t="s">
        <v>9</v>
      </c>
      <c r="F203" s="2" t="s">
        <v>13</v>
      </c>
      <c r="G203" s="2" t="s">
        <v>14</v>
      </c>
      <c r="H203" s="4">
        <v>30</v>
      </c>
      <c r="I20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4" spans="1:9">
      <c r="A204" s="2" t="s">
        <v>336</v>
      </c>
      <c r="B204" s="2" t="s">
        <v>17</v>
      </c>
      <c r="C204" s="3">
        <v>43069</v>
      </c>
      <c r="D204" s="5">
        <v>229</v>
      </c>
      <c r="E204" s="2" t="s">
        <v>9</v>
      </c>
      <c r="F204" s="2" t="s">
        <v>13</v>
      </c>
      <c r="G204" s="2" t="s">
        <v>14</v>
      </c>
      <c r="H204" s="4">
        <v>30</v>
      </c>
      <c r="I20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5" spans="1:9">
      <c r="A205" s="2" t="s">
        <v>337</v>
      </c>
      <c r="B205" s="2" t="s">
        <v>17</v>
      </c>
      <c r="C205" s="3">
        <v>43069</v>
      </c>
      <c r="D205" s="5">
        <v>230</v>
      </c>
      <c r="E205" s="2" t="s">
        <v>9</v>
      </c>
      <c r="F205" s="2" t="s">
        <v>13</v>
      </c>
      <c r="G205" s="2" t="s">
        <v>14</v>
      </c>
      <c r="H205" s="4">
        <v>30</v>
      </c>
      <c r="I20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6" spans="1:9">
      <c r="A206" s="2" t="s">
        <v>338</v>
      </c>
      <c r="B206" s="2" t="s">
        <v>22</v>
      </c>
      <c r="C206" s="3">
        <v>43069</v>
      </c>
      <c r="D206" s="5">
        <v>231</v>
      </c>
      <c r="E206" s="2" t="s">
        <v>9</v>
      </c>
      <c r="F206" s="2" t="s">
        <v>13</v>
      </c>
      <c r="G206" s="2" t="s">
        <v>14</v>
      </c>
      <c r="H206" s="4">
        <v>30</v>
      </c>
      <c r="I20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7" spans="1:9">
      <c r="A207" s="2" t="s">
        <v>339</v>
      </c>
      <c r="B207" s="2" t="s">
        <v>22</v>
      </c>
      <c r="C207" s="3">
        <v>43069</v>
      </c>
      <c r="D207" s="5">
        <v>232</v>
      </c>
      <c r="E207" s="2" t="s">
        <v>9</v>
      </c>
      <c r="F207" s="2" t="s">
        <v>13</v>
      </c>
      <c r="G207" s="2" t="s">
        <v>14</v>
      </c>
      <c r="H207" s="4">
        <v>30</v>
      </c>
      <c r="I20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8" spans="1:9">
      <c r="A208" s="2" t="s">
        <v>96</v>
      </c>
      <c r="B208" s="2" t="s">
        <v>26</v>
      </c>
      <c r="C208" s="3">
        <v>43071</v>
      </c>
      <c r="D208" s="5">
        <v>8</v>
      </c>
      <c r="E208" s="2" t="s">
        <v>383</v>
      </c>
      <c r="F208" s="2" t="s">
        <v>10</v>
      </c>
      <c r="G208" s="2" t="s">
        <v>11</v>
      </c>
      <c r="H208" s="4">
        <v>18</v>
      </c>
      <c r="I20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09" spans="1:9">
      <c r="A209" s="2" t="s">
        <v>247</v>
      </c>
      <c r="B209" s="2" t="s">
        <v>26</v>
      </c>
      <c r="C209" s="3">
        <v>43071</v>
      </c>
      <c r="D209" s="5">
        <v>147</v>
      </c>
      <c r="E209" s="2" t="s">
        <v>9</v>
      </c>
      <c r="F209" s="2" t="s">
        <v>10</v>
      </c>
      <c r="G209" s="2" t="s">
        <v>11</v>
      </c>
      <c r="H209" s="4">
        <v>18</v>
      </c>
      <c r="I20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0" spans="1:9">
      <c r="A210" s="2" t="s">
        <v>269</v>
      </c>
      <c r="B210" s="2" t="s">
        <v>26</v>
      </c>
      <c r="C210" s="3">
        <v>43071</v>
      </c>
      <c r="D210" s="5">
        <v>162</v>
      </c>
      <c r="E210" s="2" t="s">
        <v>9</v>
      </c>
      <c r="F210" s="2" t="s">
        <v>10</v>
      </c>
      <c r="G210" s="2" t="s">
        <v>11</v>
      </c>
      <c r="H210" s="4">
        <v>18</v>
      </c>
      <c r="I21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1" spans="1:9">
      <c r="A211" s="2" t="s">
        <v>284</v>
      </c>
      <c r="B211" s="2" t="s">
        <v>26</v>
      </c>
      <c r="C211" s="3">
        <v>43071</v>
      </c>
      <c r="D211" s="5">
        <v>177</v>
      </c>
      <c r="E211" s="2" t="s">
        <v>9</v>
      </c>
      <c r="F211" s="2" t="s">
        <v>10</v>
      </c>
      <c r="G211" s="2" t="s">
        <v>11</v>
      </c>
      <c r="H211" s="4">
        <v>18</v>
      </c>
      <c r="I21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2" spans="1:9">
      <c r="A212" s="2" t="s">
        <v>299</v>
      </c>
      <c r="B212" s="2" t="s">
        <v>26</v>
      </c>
      <c r="C212" s="3">
        <v>43071</v>
      </c>
      <c r="D212" s="5">
        <v>192</v>
      </c>
      <c r="E212" s="2" t="s">
        <v>9</v>
      </c>
      <c r="F212" s="2" t="s">
        <v>10</v>
      </c>
      <c r="G212" s="2" t="s">
        <v>11</v>
      </c>
      <c r="H212" s="4">
        <v>18</v>
      </c>
      <c r="I21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3" spans="1:9">
      <c r="A213" s="2" t="s">
        <v>314</v>
      </c>
      <c r="B213" s="2" t="s">
        <v>26</v>
      </c>
      <c r="C213" s="3">
        <v>43071</v>
      </c>
      <c r="D213" s="5">
        <v>207</v>
      </c>
      <c r="E213" s="2" t="s">
        <v>9</v>
      </c>
      <c r="F213" s="2" t="s">
        <v>10</v>
      </c>
      <c r="G213" s="2" t="s">
        <v>11</v>
      </c>
      <c r="H213" s="4">
        <v>18</v>
      </c>
      <c r="I21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4" spans="1:9">
      <c r="A214" s="2" t="s">
        <v>329</v>
      </c>
      <c r="B214" s="2" t="s">
        <v>26</v>
      </c>
      <c r="C214" s="3">
        <v>43071</v>
      </c>
      <c r="D214" s="5">
        <v>222</v>
      </c>
      <c r="E214" s="2" t="s">
        <v>9</v>
      </c>
      <c r="F214" s="2" t="s">
        <v>10</v>
      </c>
      <c r="G214" s="2" t="s">
        <v>11</v>
      </c>
      <c r="H214" s="4">
        <v>18</v>
      </c>
      <c r="I2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5" spans="1:9">
      <c r="A215" s="2" t="s">
        <v>95</v>
      </c>
      <c r="B215" s="2" t="s">
        <v>22</v>
      </c>
      <c r="C215" s="3">
        <v>43075</v>
      </c>
      <c r="D215" s="5">
        <v>7</v>
      </c>
      <c r="E215" s="2" t="s">
        <v>385</v>
      </c>
      <c r="F215" s="2" t="s">
        <v>13</v>
      </c>
      <c r="G215" s="2" t="s">
        <v>25</v>
      </c>
      <c r="H215" s="4">
        <v>25</v>
      </c>
      <c r="I21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16" spans="1:9">
      <c r="A216" s="2" t="s">
        <v>246</v>
      </c>
      <c r="B216" s="2" t="s">
        <v>22</v>
      </c>
      <c r="C216" s="3">
        <v>43075</v>
      </c>
      <c r="D216" s="5">
        <v>146</v>
      </c>
      <c r="E216" s="2" t="s">
        <v>9</v>
      </c>
      <c r="F216" s="2" t="s">
        <v>24</v>
      </c>
      <c r="G216" s="2" t="s">
        <v>25</v>
      </c>
      <c r="H216" s="4">
        <v>25</v>
      </c>
      <c r="I21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17" spans="1:9">
      <c r="A217" s="2" t="s">
        <v>268</v>
      </c>
      <c r="B217" s="2" t="s">
        <v>22</v>
      </c>
      <c r="C217" s="3">
        <v>43075</v>
      </c>
      <c r="D217" s="5">
        <v>161</v>
      </c>
      <c r="E217" s="2" t="s">
        <v>9</v>
      </c>
      <c r="F217" s="2" t="s">
        <v>24</v>
      </c>
      <c r="G217" s="2" t="s">
        <v>25</v>
      </c>
      <c r="H217" s="4">
        <v>25</v>
      </c>
      <c r="I21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18" spans="1:9">
      <c r="A218" s="2" t="s">
        <v>283</v>
      </c>
      <c r="B218" s="2" t="s">
        <v>22</v>
      </c>
      <c r="C218" s="3">
        <v>43075</v>
      </c>
      <c r="D218" s="5">
        <v>176</v>
      </c>
      <c r="E218" s="2" t="s">
        <v>9</v>
      </c>
      <c r="F218" s="2" t="s">
        <v>24</v>
      </c>
      <c r="G218" s="2" t="s">
        <v>25</v>
      </c>
      <c r="H218" s="4">
        <v>25</v>
      </c>
      <c r="I21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19" spans="1:9">
      <c r="A219" s="2" t="s">
        <v>298</v>
      </c>
      <c r="B219" s="2" t="s">
        <v>22</v>
      </c>
      <c r="C219" s="3">
        <v>43075</v>
      </c>
      <c r="D219" s="5">
        <v>191</v>
      </c>
      <c r="E219" s="2" t="s">
        <v>9</v>
      </c>
      <c r="F219" s="2" t="s">
        <v>24</v>
      </c>
      <c r="G219" s="2" t="s">
        <v>25</v>
      </c>
      <c r="H219" s="4">
        <v>25</v>
      </c>
      <c r="I21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20" spans="1:9">
      <c r="A220" s="2" t="s">
        <v>313</v>
      </c>
      <c r="B220" s="2" t="s">
        <v>22</v>
      </c>
      <c r="C220" s="3">
        <v>43075</v>
      </c>
      <c r="D220" s="5">
        <v>206</v>
      </c>
      <c r="E220" s="2" t="s">
        <v>9</v>
      </c>
      <c r="F220" s="2" t="s">
        <v>24</v>
      </c>
      <c r="G220" s="2" t="s">
        <v>25</v>
      </c>
      <c r="H220" s="4">
        <v>25</v>
      </c>
      <c r="I22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21" spans="1:9">
      <c r="A221" s="2" t="s">
        <v>328</v>
      </c>
      <c r="B221" s="2" t="s">
        <v>22</v>
      </c>
      <c r="C221" s="3">
        <v>43075</v>
      </c>
      <c r="D221" s="5">
        <v>221</v>
      </c>
      <c r="E221" s="2" t="s">
        <v>9</v>
      </c>
      <c r="F221" s="2" t="s">
        <v>24</v>
      </c>
      <c r="G221" s="2" t="s">
        <v>25</v>
      </c>
      <c r="H221" s="4">
        <v>25</v>
      </c>
      <c r="I22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22" spans="1:9">
      <c r="A222" s="2" t="s">
        <v>94</v>
      </c>
      <c r="B222" s="2" t="s">
        <v>22</v>
      </c>
      <c r="C222" s="3">
        <v>43084</v>
      </c>
      <c r="D222" s="5">
        <v>6</v>
      </c>
      <c r="E222" s="2" t="s">
        <v>9</v>
      </c>
      <c r="F222" s="2" t="s">
        <v>13</v>
      </c>
      <c r="G222" s="2" t="s">
        <v>23</v>
      </c>
      <c r="H222" s="4">
        <v>18</v>
      </c>
      <c r="I22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3" spans="1:9">
      <c r="A223" s="2" t="s">
        <v>225</v>
      </c>
      <c r="B223" s="2" t="s">
        <v>22</v>
      </c>
      <c r="C223" s="3">
        <v>43084</v>
      </c>
      <c r="D223" s="5">
        <v>145</v>
      </c>
      <c r="E223" s="2" t="s">
        <v>9</v>
      </c>
      <c r="F223" s="2" t="s">
        <v>13</v>
      </c>
      <c r="G223" s="2" t="s">
        <v>23</v>
      </c>
      <c r="H223" s="4">
        <v>18</v>
      </c>
      <c r="I22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4" spans="1:9">
      <c r="A224" s="2" t="s">
        <v>267</v>
      </c>
      <c r="B224" s="2" t="s">
        <v>22</v>
      </c>
      <c r="C224" s="3">
        <v>43084</v>
      </c>
      <c r="D224" s="5">
        <v>160</v>
      </c>
      <c r="E224" s="2" t="s">
        <v>9</v>
      </c>
      <c r="F224" s="2" t="s">
        <v>13</v>
      </c>
      <c r="G224" s="2" t="s">
        <v>23</v>
      </c>
      <c r="H224" s="4">
        <v>18</v>
      </c>
      <c r="I22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5" spans="1:9">
      <c r="A225" s="2" t="s">
        <v>282</v>
      </c>
      <c r="B225" s="2" t="s">
        <v>22</v>
      </c>
      <c r="C225" s="3">
        <v>43084</v>
      </c>
      <c r="D225" s="5">
        <v>175</v>
      </c>
      <c r="E225" s="2" t="s">
        <v>9</v>
      </c>
      <c r="F225" s="2" t="s">
        <v>13</v>
      </c>
      <c r="G225" s="2" t="s">
        <v>23</v>
      </c>
      <c r="H225" s="4">
        <v>18</v>
      </c>
      <c r="I22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6" spans="1:9">
      <c r="A226" s="2" t="s">
        <v>297</v>
      </c>
      <c r="B226" s="2" t="s">
        <v>22</v>
      </c>
      <c r="C226" s="3">
        <v>43084</v>
      </c>
      <c r="D226" s="5">
        <v>190</v>
      </c>
      <c r="E226" s="2" t="s">
        <v>9</v>
      </c>
      <c r="F226" s="2" t="s">
        <v>13</v>
      </c>
      <c r="G226" s="2" t="s">
        <v>23</v>
      </c>
      <c r="H226" s="4">
        <v>18</v>
      </c>
      <c r="I22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7" spans="1:9">
      <c r="A227" s="2" t="s">
        <v>312</v>
      </c>
      <c r="B227" s="2" t="s">
        <v>22</v>
      </c>
      <c r="C227" s="3">
        <v>43084</v>
      </c>
      <c r="D227" s="5">
        <v>205</v>
      </c>
      <c r="E227" s="2" t="s">
        <v>9</v>
      </c>
      <c r="F227" s="2" t="s">
        <v>13</v>
      </c>
      <c r="G227" s="2" t="s">
        <v>23</v>
      </c>
      <c r="H227" s="4">
        <v>18</v>
      </c>
      <c r="I2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8" spans="1:9">
      <c r="A228" s="2" t="s">
        <v>327</v>
      </c>
      <c r="B228" s="2" t="s">
        <v>22</v>
      </c>
      <c r="C228" s="3">
        <v>43084</v>
      </c>
      <c r="D228" s="5">
        <v>220</v>
      </c>
      <c r="E228" s="2" t="s">
        <v>9</v>
      </c>
      <c r="F228" s="2" t="s">
        <v>13</v>
      </c>
      <c r="G228" s="2" t="s">
        <v>23</v>
      </c>
      <c r="H228" s="4">
        <v>18</v>
      </c>
      <c r="I22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29" spans="1:9">
      <c r="A229" s="2" t="s">
        <v>93</v>
      </c>
      <c r="B229" s="2" t="s">
        <v>17</v>
      </c>
      <c r="C229" s="3">
        <v>43087</v>
      </c>
      <c r="D229" s="5">
        <v>4</v>
      </c>
      <c r="E229" s="2" t="s">
        <v>384</v>
      </c>
      <c r="F229" s="2" t="s">
        <v>13</v>
      </c>
      <c r="G229" s="2" t="s">
        <v>19</v>
      </c>
      <c r="H229" s="4">
        <v>22</v>
      </c>
      <c r="I22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30" spans="1:9">
      <c r="A230" s="2" t="s">
        <v>223</v>
      </c>
      <c r="B230" s="2" t="s">
        <v>17</v>
      </c>
      <c r="C230" s="3">
        <v>43087</v>
      </c>
      <c r="D230" s="5">
        <v>143</v>
      </c>
      <c r="E230" s="2" t="s">
        <v>9</v>
      </c>
      <c r="F230" s="2" t="s">
        <v>18</v>
      </c>
      <c r="G230" s="2" t="s">
        <v>19</v>
      </c>
      <c r="H230" s="4">
        <v>22</v>
      </c>
      <c r="I23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31" spans="1:9">
      <c r="A231" s="2" t="s">
        <v>91</v>
      </c>
      <c r="B231" s="2" t="s">
        <v>12</v>
      </c>
      <c r="C231" s="3">
        <v>43094</v>
      </c>
      <c r="D231" s="5">
        <v>2</v>
      </c>
      <c r="E231" s="2" t="s">
        <v>9</v>
      </c>
      <c r="F231" s="2" t="s">
        <v>13</v>
      </c>
      <c r="G231" s="2" t="s">
        <v>14</v>
      </c>
      <c r="H231" s="4">
        <v>9</v>
      </c>
      <c r="I23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32" spans="1:9">
      <c r="A232" s="2" t="s">
        <v>92</v>
      </c>
      <c r="B232" s="2" t="s">
        <v>12</v>
      </c>
      <c r="C232" s="3">
        <v>43094</v>
      </c>
      <c r="D232" s="5">
        <v>3</v>
      </c>
      <c r="E232" s="2" t="s">
        <v>383</v>
      </c>
      <c r="F232" s="2" t="s">
        <v>15</v>
      </c>
      <c r="G232" s="2" t="s">
        <v>16</v>
      </c>
      <c r="H232" s="4">
        <v>39</v>
      </c>
      <c r="I23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33" spans="1:9">
      <c r="A233" s="2" t="s">
        <v>221</v>
      </c>
      <c r="B233" s="2" t="s">
        <v>12</v>
      </c>
      <c r="C233" s="3">
        <v>43094</v>
      </c>
      <c r="D233" s="5">
        <v>141</v>
      </c>
      <c r="E233" s="2" t="s">
        <v>9</v>
      </c>
      <c r="F233" s="2" t="s">
        <v>13</v>
      </c>
      <c r="G233" s="2" t="s">
        <v>14</v>
      </c>
      <c r="H233" s="4">
        <v>9</v>
      </c>
      <c r="I2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34" spans="1:9">
      <c r="A234" s="2" t="s">
        <v>222</v>
      </c>
      <c r="B234" s="2" t="s">
        <v>12</v>
      </c>
      <c r="C234" s="3">
        <v>43094</v>
      </c>
      <c r="D234" s="5">
        <v>142</v>
      </c>
      <c r="E234" s="2" t="s">
        <v>9</v>
      </c>
      <c r="F234" s="2" t="s">
        <v>15</v>
      </c>
      <c r="G234" s="2" t="s">
        <v>16</v>
      </c>
      <c r="H234" s="4">
        <v>39</v>
      </c>
      <c r="I23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35" spans="1:9">
      <c r="A235" s="2" t="s">
        <v>90</v>
      </c>
      <c r="B235" s="2" t="s">
        <v>8</v>
      </c>
      <c r="C235" s="3">
        <v>43099</v>
      </c>
      <c r="D235" s="5">
        <v>1</v>
      </c>
      <c r="E235" s="2" t="s">
        <v>9</v>
      </c>
      <c r="F235" s="2" t="s">
        <v>13</v>
      </c>
      <c r="G235" s="2" t="s">
        <v>16</v>
      </c>
      <c r="H235" s="4" t="e">
        <f>2/0</f>
        <v>#DIV/0!</v>
      </c>
      <c r="I23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36" spans="1:9">
      <c r="A236" s="2" t="s">
        <v>220</v>
      </c>
      <c r="B236" s="2" t="s">
        <v>8</v>
      </c>
      <c r="C236" s="3">
        <v>43099</v>
      </c>
      <c r="D236" s="5">
        <v>140</v>
      </c>
      <c r="E236" s="2" t="s">
        <v>9</v>
      </c>
      <c r="F236" s="2" t="s">
        <v>10</v>
      </c>
      <c r="G236" s="2" t="s">
        <v>11</v>
      </c>
      <c r="H236" s="4">
        <v>19</v>
      </c>
      <c r="I23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37" spans="1:9">
      <c r="A237" s="2" t="s">
        <v>94</v>
      </c>
      <c r="B237" s="2" t="s">
        <v>17</v>
      </c>
      <c r="C237" s="3">
        <v>43101</v>
      </c>
      <c r="D237" s="5">
        <v>5</v>
      </c>
      <c r="E237" s="2" t="s">
        <v>9</v>
      </c>
      <c r="F237" s="2" t="s">
        <v>20</v>
      </c>
      <c r="G237" s="2" t="s">
        <v>21</v>
      </c>
      <c r="H237" s="4">
        <v>8</v>
      </c>
      <c r="I23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38" spans="1:9">
      <c r="A238" s="2" t="s">
        <v>224</v>
      </c>
      <c r="B238" s="2" t="s">
        <v>17</v>
      </c>
      <c r="C238" s="3">
        <v>43101</v>
      </c>
      <c r="D238" s="5">
        <v>144</v>
      </c>
      <c r="E238" s="2" t="s">
        <v>9</v>
      </c>
      <c r="F238" s="2" t="s">
        <v>20</v>
      </c>
      <c r="G238" s="2" t="s">
        <v>21</v>
      </c>
      <c r="H238" s="4">
        <v>8</v>
      </c>
      <c r="I23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39" spans="1:9">
      <c r="A239" s="2" t="s">
        <v>266</v>
      </c>
      <c r="B239" s="2" t="s">
        <v>17</v>
      </c>
      <c r="C239" s="3">
        <v>43101</v>
      </c>
      <c r="D239" s="5">
        <v>159</v>
      </c>
      <c r="E239" s="2" t="s">
        <v>9</v>
      </c>
      <c r="F239" s="2" t="s">
        <v>20</v>
      </c>
      <c r="G239" s="2" t="s">
        <v>21</v>
      </c>
      <c r="H239" s="4">
        <v>8</v>
      </c>
      <c r="I23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0" spans="1:9">
      <c r="A240" s="2" t="s">
        <v>281</v>
      </c>
      <c r="B240" s="2" t="s">
        <v>17</v>
      </c>
      <c r="C240" s="3">
        <v>43101</v>
      </c>
      <c r="D240" s="5">
        <v>174</v>
      </c>
      <c r="E240" s="2" t="s">
        <v>9</v>
      </c>
      <c r="F240" s="2" t="s">
        <v>20</v>
      </c>
      <c r="G240" s="2" t="s">
        <v>21</v>
      </c>
      <c r="H240" s="4">
        <v>8</v>
      </c>
      <c r="I24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1" spans="1:9">
      <c r="A241" s="2" t="s">
        <v>296</v>
      </c>
      <c r="B241" s="2" t="s">
        <v>17</v>
      </c>
      <c r="C241" s="3">
        <v>43101</v>
      </c>
      <c r="D241" s="5">
        <v>189</v>
      </c>
      <c r="E241" s="2" t="s">
        <v>9</v>
      </c>
      <c r="F241" s="2" t="s">
        <v>20</v>
      </c>
      <c r="G241" s="2" t="s">
        <v>21</v>
      </c>
      <c r="H241" s="4">
        <v>8</v>
      </c>
      <c r="I24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2" spans="1:9">
      <c r="A242" s="2" t="s">
        <v>311</v>
      </c>
      <c r="B242" s="2" t="s">
        <v>17</v>
      </c>
      <c r="C242" s="3">
        <v>43101</v>
      </c>
      <c r="D242" s="5">
        <v>204</v>
      </c>
      <c r="E242" s="2" t="s">
        <v>9</v>
      </c>
      <c r="F242" s="2" t="s">
        <v>20</v>
      </c>
      <c r="G242" s="2" t="s">
        <v>21</v>
      </c>
      <c r="H242" s="4">
        <v>8</v>
      </c>
      <c r="I24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3" spans="1:9">
      <c r="A243" s="2" t="s">
        <v>326</v>
      </c>
      <c r="B243" s="2" t="s">
        <v>17</v>
      </c>
      <c r="C243" s="3">
        <v>43101</v>
      </c>
      <c r="D243" s="5">
        <v>219</v>
      </c>
      <c r="E243" s="2" t="s">
        <v>9</v>
      </c>
      <c r="F243" s="2" t="s">
        <v>20</v>
      </c>
      <c r="G243" s="2" t="s">
        <v>21</v>
      </c>
      <c r="H243" s="4">
        <v>8</v>
      </c>
      <c r="I24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4" spans="1:9">
      <c r="A244" s="2" t="s">
        <v>94</v>
      </c>
      <c r="B244" s="2" t="s">
        <v>17</v>
      </c>
      <c r="C244" s="3">
        <v>43101</v>
      </c>
      <c r="D244" s="2">
        <v>5</v>
      </c>
      <c r="E244" s="2" t="s">
        <v>9</v>
      </c>
      <c r="F244" s="2" t="s">
        <v>20</v>
      </c>
      <c r="G244" s="2" t="s">
        <v>21</v>
      </c>
      <c r="H244" s="4">
        <v>8</v>
      </c>
      <c r="I24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5" spans="1:9">
      <c r="A245" s="2" t="s">
        <v>224</v>
      </c>
      <c r="B245" s="2" t="s">
        <v>17</v>
      </c>
      <c r="C245" s="3">
        <v>43101</v>
      </c>
      <c r="D245" s="2">
        <v>144</v>
      </c>
      <c r="E245" s="2" t="s">
        <v>9</v>
      </c>
      <c r="F245" s="2" t="s">
        <v>20</v>
      </c>
      <c r="G245" s="2" t="s">
        <v>21</v>
      </c>
      <c r="H245" s="4">
        <v>8</v>
      </c>
      <c r="I24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6" spans="1:9">
      <c r="A246" s="2" t="s">
        <v>266</v>
      </c>
      <c r="B246" s="2" t="s">
        <v>17</v>
      </c>
      <c r="C246" s="3">
        <v>43101</v>
      </c>
      <c r="D246" s="2">
        <v>159</v>
      </c>
      <c r="E246" s="2" t="s">
        <v>9</v>
      </c>
      <c r="F246" s="2" t="s">
        <v>20</v>
      </c>
      <c r="G246" s="2" t="s">
        <v>21</v>
      </c>
      <c r="H246" s="4">
        <v>8</v>
      </c>
      <c r="I24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7" spans="1:9">
      <c r="A247" s="2" t="s">
        <v>281</v>
      </c>
      <c r="B247" s="2" t="s">
        <v>17</v>
      </c>
      <c r="C247" s="3">
        <v>43101</v>
      </c>
      <c r="D247" s="2">
        <v>174</v>
      </c>
      <c r="E247" s="2" t="s">
        <v>9</v>
      </c>
      <c r="F247" s="2" t="s">
        <v>20</v>
      </c>
      <c r="G247" s="2" t="s">
        <v>21</v>
      </c>
      <c r="H247" s="4">
        <v>8</v>
      </c>
      <c r="I24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8" spans="1:9">
      <c r="A248" s="2" t="s">
        <v>296</v>
      </c>
      <c r="B248" s="2" t="s">
        <v>17</v>
      </c>
      <c r="C248" s="3">
        <v>43101</v>
      </c>
      <c r="D248" s="2">
        <v>189</v>
      </c>
      <c r="E248" s="2" t="s">
        <v>9</v>
      </c>
      <c r="F248" s="2" t="s">
        <v>20</v>
      </c>
      <c r="G248" s="2" t="s">
        <v>21</v>
      </c>
      <c r="H248" s="4">
        <v>8</v>
      </c>
      <c r="I24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49" spans="1:9">
      <c r="A249" s="2" t="s">
        <v>311</v>
      </c>
      <c r="B249" s="2" t="s">
        <v>17</v>
      </c>
      <c r="C249" s="3">
        <v>43101</v>
      </c>
      <c r="D249" s="2">
        <v>204</v>
      </c>
      <c r="E249" s="2" t="s">
        <v>9</v>
      </c>
      <c r="F249" s="2" t="s">
        <v>20</v>
      </c>
      <c r="G249" s="2" t="s">
        <v>21</v>
      </c>
      <c r="H249" s="4">
        <v>8</v>
      </c>
      <c r="I24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50" spans="1:9">
      <c r="A250" s="2" t="s">
        <v>326</v>
      </c>
      <c r="B250" s="2" t="s">
        <v>17</v>
      </c>
      <c r="C250" s="3">
        <v>43101</v>
      </c>
      <c r="D250" s="2">
        <v>219</v>
      </c>
      <c r="E250" s="2" t="s">
        <v>9</v>
      </c>
      <c r="F250" s="2" t="s">
        <v>20</v>
      </c>
      <c r="G250" s="2" t="s">
        <v>21</v>
      </c>
      <c r="H250" s="4">
        <v>8</v>
      </c>
      <c r="I25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51" spans="1:9">
      <c r="A251" s="2" t="s">
        <v>217</v>
      </c>
      <c r="B251" s="2" t="s">
        <v>88</v>
      </c>
      <c r="C251" s="3">
        <v>43107</v>
      </c>
      <c r="D251" s="2">
        <v>130</v>
      </c>
      <c r="E251" s="2" t="s">
        <v>40</v>
      </c>
      <c r="F251" s="2" t="s">
        <v>24</v>
      </c>
      <c r="G251" s="2" t="s">
        <v>19</v>
      </c>
      <c r="H251" s="4">
        <v>26</v>
      </c>
      <c r="I25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52" spans="1:9">
      <c r="A252" s="2" t="s">
        <v>217</v>
      </c>
      <c r="B252" s="2" t="s">
        <v>88</v>
      </c>
      <c r="C252" s="3">
        <v>43107</v>
      </c>
      <c r="D252" s="2">
        <v>131</v>
      </c>
      <c r="E252" s="2" t="s">
        <v>40</v>
      </c>
      <c r="F252" s="2" t="s">
        <v>24</v>
      </c>
      <c r="G252" s="2" t="s">
        <v>19</v>
      </c>
      <c r="H252" s="4">
        <v>26</v>
      </c>
      <c r="I25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53" spans="1:9">
      <c r="A253" s="2" t="s">
        <v>89</v>
      </c>
      <c r="B253" s="2" t="s">
        <v>89</v>
      </c>
      <c r="C253" s="3">
        <v>43107</v>
      </c>
      <c r="D253" s="2">
        <v>132</v>
      </c>
      <c r="E253" s="2" t="s">
        <v>40</v>
      </c>
      <c r="F253" s="2" t="s">
        <v>24</v>
      </c>
      <c r="G253" s="2" t="s">
        <v>19</v>
      </c>
      <c r="H253" s="4">
        <v>26</v>
      </c>
      <c r="I25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54" spans="1:9">
      <c r="A254" s="2" t="s">
        <v>224</v>
      </c>
      <c r="B254" s="2" t="s">
        <v>88</v>
      </c>
      <c r="C254" s="3">
        <v>43107</v>
      </c>
      <c r="D254" s="2">
        <v>130</v>
      </c>
      <c r="E254" s="2" t="s">
        <v>40</v>
      </c>
      <c r="F254" s="2" t="s">
        <v>24</v>
      </c>
      <c r="G254" s="2" t="s">
        <v>19</v>
      </c>
      <c r="H254" s="4">
        <v>26</v>
      </c>
      <c r="I25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55" spans="1:9">
      <c r="A255" s="2" t="s">
        <v>225</v>
      </c>
      <c r="B255" s="2" t="s">
        <v>88</v>
      </c>
      <c r="C255" s="3">
        <v>43107</v>
      </c>
      <c r="D255" s="2">
        <v>131</v>
      </c>
      <c r="E255" s="2" t="s">
        <v>40</v>
      </c>
      <c r="F255" s="2" t="s">
        <v>24</v>
      </c>
      <c r="G255" s="2" t="s">
        <v>19</v>
      </c>
      <c r="H255" s="4">
        <v>26</v>
      </c>
      <c r="I25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56" spans="1:9">
      <c r="A256" s="2" t="s">
        <v>216</v>
      </c>
      <c r="B256" s="2" t="s">
        <v>88</v>
      </c>
      <c r="C256" s="3">
        <v>43110</v>
      </c>
      <c r="D256" s="2">
        <v>129</v>
      </c>
      <c r="E256" s="2" t="s">
        <v>40</v>
      </c>
      <c r="F256" s="2" t="s">
        <v>20</v>
      </c>
      <c r="G256" s="2" t="s">
        <v>16</v>
      </c>
      <c r="H256" s="4">
        <v>26</v>
      </c>
      <c r="I25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57" spans="1:9">
      <c r="A257" s="2" t="s">
        <v>223</v>
      </c>
      <c r="B257" s="2" t="s">
        <v>88</v>
      </c>
      <c r="C257" s="3">
        <v>43110</v>
      </c>
      <c r="D257" s="2">
        <v>129</v>
      </c>
      <c r="E257" s="2" t="s">
        <v>40</v>
      </c>
      <c r="F257" s="2" t="s">
        <v>20</v>
      </c>
      <c r="G257" s="2" t="s">
        <v>16</v>
      </c>
      <c r="H257" s="4">
        <v>26</v>
      </c>
      <c r="I25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58" spans="1:9">
      <c r="A258" s="2" t="s">
        <v>214</v>
      </c>
      <c r="B258" s="2" t="s">
        <v>87</v>
      </c>
      <c r="C258" s="3">
        <v>43111</v>
      </c>
      <c r="D258" s="2">
        <v>127</v>
      </c>
      <c r="E258" s="2" t="s">
        <v>40</v>
      </c>
      <c r="F258" s="2" t="s">
        <v>20</v>
      </c>
      <c r="G258" s="2" t="s">
        <v>23</v>
      </c>
      <c r="H258" s="4">
        <v>37</v>
      </c>
      <c r="I25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59" spans="1:9">
      <c r="A259" s="2" t="s">
        <v>215</v>
      </c>
      <c r="B259" s="2" t="s">
        <v>88</v>
      </c>
      <c r="C259" s="3">
        <v>43111</v>
      </c>
      <c r="D259" s="2">
        <v>128</v>
      </c>
      <c r="E259" s="2" t="s">
        <v>40</v>
      </c>
      <c r="F259" s="2" t="s">
        <v>24</v>
      </c>
      <c r="G259" s="2" t="s">
        <v>25</v>
      </c>
      <c r="H259" s="4">
        <v>8</v>
      </c>
      <c r="I25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0" spans="1:9">
      <c r="A260" s="2" t="s">
        <v>218</v>
      </c>
      <c r="B260" s="2" t="s">
        <v>87</v>
      </c>
      <c r="C260" s="3">
        <v>43111</v>
      </c>
      <c r="D260" s="2">
        <v>133</v>
      </c>
      <c r="E260" s="2" t="s">
        <v>40</v>
      </c>
      <c r="F260" s="2" t="s">
        <v>20</v>
      </c>
      <c r="G260" s="2" t="s">
        <v>23</v>
      </c>
      <c r="H260" s="4">
        <v>37</v>
      </c>
      <c r="I26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61" spans="1:9">
      <c r="A261" s="2" t="s">
        <v>219</v>
      </c>
      <c r="B261" s="2" t="s">
        <v>86</v>
      </c>
      <c r="C261" s="3">
        <v>43111</v>
      </c>
      <c r="D261" s="2">
        <v>134</v>
      </c>
      <c r="E261" s="2" t="s">
        <v>40</v>
      </c>
      <c r="F261" s="2" t="s">
        <v>20</v>
      </c>
      <c r="G261" s="2" t="s">
        <v>23</v>
      </c>
      <c r="H261" s="4">
        <v>100</v>
      </c>
      <c r="I26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62" spans="1:9">
      <c r="A262" s="2" t="s">
        <v>220</v>
      </c>
      <c r="B262" s="2" t="s">
        <v>86</v>
      </c>
      <c r="C262" s="3">
        <v>43111</v>
      </c>
      <c r="D262" s="2">
        <v>135</v>
      </c>
      <c r="E262" s="2" t="s">
        <v>40</v>
      </c>
      <c r="F262" s="2" t="s">
        <v>20</v>
      </c>
      <c r="G262" s="2" t="s">
        <v>23</v>
      </c>
      <c r="H262" s="4">
        <v>100</v>
      </c>
      <c r="I26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63" spans="1:9">
      <c r="A263" s="2" t="s">
        <v>221</v>
      </c>
      <c r="B263" s="2" t="s">
        <v>86</v>
      </c>
      <c r="C263" s="3">
        <v>43111</v>
      </c>
      <c r="D263" s="2">
        <v>136</v>
      </c>
      <c r="E263" s="2" t="s">
        <v>40</v>
      </c>
      <c r="F263" s="2" t="s">
        <v>20</v>
      </c>
      <c r="G263" s="2" t="s">
        <v>23</v>
      </c>
      <c r="H263" s="4">
        <v>37</v>
      </c>
      <c r="I26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64" spans="1:9">
      <c r="A264" s="2" t="s">
        <v>222</v>
      </c>
      <c r="B264" s="2" t="s">
        <v>88</v>
      </c>
      <c r="C264" s="3">
        <v>43111</v>
      </c>
      <c r="D264" s="2">
        <v>128</v>
      </c>
      <c r="E264" s="2" t="s">
        <v>40</v>
      </c>
      <c r="F264" s="2" t="s">
        <v>24</v>
      </c>
      <c r="G264" s="2" t="s">
        <v>25</v>
      </c>
      <c r="H264" s="4">
        <v>8</v>
      </c>
      <c r="I26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5" spans="1:9">
      <c r="A265" s="2" t="s">
        <v>218</v>
      </c>
      <c r="B265" s="2" t="s">
        <v>87</v>
      </c>
      <c r="C265" s="3">
        <v>43111</v>
      </c>
      <c r="D265" s="2">
        <v>132</v>
      </c>
      <c r="E265" s="2" t="s">
        <v>40</v>
      </c>
      <c r="F265" s="2" t="s">
        <v>24</v>
      </c>
      <c r="G265" s="2" t="s">
        <v>25</v>
      </c>
      <c r="H265" s="4">
        <v>8</v>
      </c>
      <c r="I26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6" spans="1:9">
      <c r="A266" s="2" t="s">
        <v>218</v>
      </c>
      <c r="B266" s="2" t="s">
        <v>87</v>
      </c>
      <c r="C266" s="3">
        <v>43111</v>
      </c>
      <c r="D266" s="2">
        <v>133</v>
      </c>
      <c r="E266" s="2" t="s">
        <v>40</v>
      </c>
      <c r="F266" s="2" t="s">
        <v>24</v>
      </c>
      <c r="G266" s="2" t="s">
        <v>25</v>
      </c>
      <c r="H266" s="4">
        <v>8</v>
      </c>
      <c r="I26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7" spans="1:9">
      <c r="A267" s="2" t="s">
        <v>218</v>
      </c>
      <c r="B267" s="2" t="s">
        <v>87</v>
      </c>
      <c r="C267" s="3">
        <v>43111</v>
      </c>
      <c r="D267" s="2">
        <v>134</v>
      </c>
      <c r="E267" s="2" t="s">
        <v>40</v>
      </c>
      <c r="F267" s="2" t="s">
        <v>24</v>
      </c>
      <c r="G267" s="2" t="s">
        <v>25</v>
      </c>
      <c r="H267" s="4">
        <v>8</v>
      </c>
      <c r="I26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8" spans="1:9">
      <c r="A268" s="2" t="s">
        <v>218</v>
      </c>
      <c r="B268" s="2" t="s">
        <v>87</v>
      </c>
      <c r="C268" s="3">
        <v>43111</v>
      </c>
      <c r="D268" s="2">
        <v>135</v>
      </c>
      <c r="E268" s="2" t="s">
        <v>40</v>
      </c>
      <c r="F268" s="2" t="s">
        <v>24</v>
      </c>
      <c r="G268" s="2" t="s">
        <v>25</v>
      </c>
      <c r="H268" s="4">
        <v>8</v>
      </c>
      <c r="I26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69" spans="1:9">
      <c r="A269" s="2" t="s">
        <v>218</v>
      </c>
      <c r="B269" s="2" t="s">
        <v>87</v>
      </c>
      <c r="C269" s="3">
        <v>43111</v>
      </c>
      <c r="D269" s="2">
        <v>136</v>
      </c>
      <c r="E269" s="2" t="s">
        <v>40</v>
      </c>
      <c r="F269" s="2" t="s">
        <v>24</v>
      </c>
      <c r="G269" s="2" t="s">
        <v>25</v>
      </c>
      <c r="H269" s="4">
        <v>8</v>
      </c>
      <c r="I26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0" spans="1:9">
      <c r="A270" s="2" t="s">
        <v>218</v>
      </c>
      <c r="B270" s="2" t="s">
        <v>87</v>
      </c>
      <c r="C270" s="3">
        <v>43111</v>
      </c>
      <c r="D270" s="2">
        <v>137</v>
      </c>
      <c r="E270" s="2" t="s">
        <v>40</v>
      </c>
      <c r="F270" s="2" t="s">
        <v>24</v>
      </c>
      <c r="G270" s="2" t="s">
        <v>25</v>
      </c>
      <c r="H270" s="4">
        <v>8</v>
      </c>
      <c r="I27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1" spans="1:9">
      <c r="A271" s="2" t="s">
        <v>218</v>
      </c>
      <c r="B271" s="2" t="s">
        <v>87</v>
      </c>
      <c r="C271" s="3">
        <v>43111</v>
      </c>
      <c r="D271" s="2">
        <v>138</v>
      </c>
      <c r="E271" s="2" t="s">
        <v>40</v>
      </c>
      <c r="F271" s="2" t="s">
        <v>24</v>
      </c>
      <c r="G271" s="2" t="s">
        <v>25</v>
      </c>
      <c r="H271" s="4">
        <v>8</v>
      </c>
      <c r="I27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2" spans="1:9">
      <c r="A272" s="2" t="s">
        <v>219</v>
      </c>
      <c r="B272" s="2" t="s">
        <v>87</v>
      </c>
      <c r="C272" s="3">
        <v>43111</v>
      </c>
      <c r="D272" s="2">
        <v>139</v>
      </c>
      <c r="E272" s="2" t="s">
        <v>40</v>
      </c>
      <c r="F272" s="2" t="s">
        <v>24</v>
      </c>
      <c r="G272" s="2" t="s">
        <v>25</v>
      </c>
      <c r="H272" s="4">
        <v>234</v>
      </c>
      <c r="I27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3" spans="1:9">
      <c r="A273" s="2" t="s">
        <v>211</v>
      </c>
      <c r="B273" s="2" t="s">
        <v>86</v>
      </c>
      <c r="C273" s="3">
        <v>43113</v>
      </c>
      <c r="D273" s="2">
        <v>124</v>
      </c>
      <c r="E273" s="2" t="s">
        <v>40</v>
      </c>
      <c r="F273" s="2" t="s">
        <v>13</v>
      </c>
      <c r="G273" s="2" t="s">
        <v>16</v>
      </c>
      <c r="H273" s="4">
        <v>33</v>
      </c>
      <c r="I27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74" spans="1:9">
      <c r="A274" s="2" t="s">
        <v>212</v>
      </c>
      <c r="B274" s="2" t="s">
        <v>86</v>
      </c>
      <c r="C274" s="3">
        <v>43113</v>
      </c>
      <c r="D274" s="2">
        <v>125</v>
      </c>
      <c r="E274" s="2" t="s">
        <v>40</v>
      </c>
      <c r="F274" s="2" t="s">
        <v>15</v>
      </c>
      <c r="G274" s="2" t="s">
        <v>19</v>
      </c>
      <c r="H274" s="4">
        <v>21</v>
      </c>
      <c r="I27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5" spans="1:9">
      <c r="A275" s="2" t="s">
        <v>213</v>
      </c>
      <c r="B275" s="2" t="s">
        <v>87</v>
      </c>
      <c r="C275" s="3">
        <v>43113</v>
      </c>
      <c r="D275" s="2">
        <v>126</v>
      </c>
      <c r="E275" s="2" t="s">
        <v>40</v>
      </c>
      <c r="F275" s="2" t="s">
        <v>18</v>
      </c>
      <c r="G275" s="2" t="s">
        <v>21</v>
      </c>
      <c r="H275" s="4">
        <v>25</v>
      </c>
      <c r="I27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76" spans="1:9">
      <c r="A276" s="2" t="s">
        <v>210</v>
      </c>
      <c r="B276" s="2" t="s">
        <v>86</v>
      </c>
      <c r="C276" s="3">
        <v>43115</v>
      </c>
      <c r="D276" s="2">
        <v>123</v>
      </c>
      <c r="E276" s="2" t="s">
        <v>40</v>
      </c>
      <c r="F276" s="2" t="s">
        <v>10</v>
      </c>
      <c r="G276" s="2" t="s">
        <v>14</v>
      </c>
      <c r="H276" s="4">
        <v>10</v>
      </c>
      <c r="I27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77" spans="1:9">
      <c r="A277" s="2" t="s">
        <v>209</v>
      </c>
      <c r="B277" s="2" t="s">
        <v>85</v>
      </c>
      <c r="C277" s="3">
        <v>43116</v>
      </c>
      <c r="D277" s="2">
        <v>122</v>
      </c>
      <c r="E277" s="2" t="s">
        <v>40</v>
      </c>
      <c r="F277" s="2" t="s">
        <v>30</v>
      </c>
      <c r="G277" s="2" t="s">
        <v>11</v>
      </c>
      <c r="H277" s="4">
        <v>8</v>
      </c>
      <c r="I27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78" spans="1:9">
      <c r="A278" s="2" t="s">
        <v>208</v>
      </c>
      <c r="B278" s="2" t="s">
        <v>85</v>
      </c>
      <c r="C278" s="3">
        <v>43121</v>
      </c>
      <c r="D278" s="2">
        <v>121</v>
      </c>
      <c r="E278" s="2" t="s">
        <v>40</v>
      </c>
      <c r="F278" s="2" t="s">
        <v>24</v>
      </c>
      <c r="G278" s="2" t="s">
        <v>25</v>
      </c>
      <c r="H278" s="4">
        <v>17</v>
      </c>
      <c r="I27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79" spans="1:9">
      <c r="A279" s="2" t="s">
        <v>207</v>
      </c>
      <c r="B279" s="2" t="s">
        <v>84</v>
      </c>
      <c r="C279" s="3">
        <v>43122</v>
      </c>
      <c r="D279" s="2">
        <v>120</v>
      </c>
      <c r="E279" s="2" t="s">
        <v>40</v>
      </c>
      <c r="F279" s="2" t="s">
        <v>20</v>
      </c>
      <c r="G279" s="2" t="s">
        <v>23</v>
      </c>
      <c r="H279" s="4">
        <v>30</v>
      </c>
      <c r="I27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80" spans="1:9">
      <c r="A280" s="2" t="s">
        <v>206</v>
      </c>
      <c r="B280" s="2" t="s">
        <v>84</v>
      </c>
      <c r="C280" s="3">
        <v>43129</v>
      </c>
      <c r="D280" s="2">
        <v>119</v>
      </c>
      <c r="E280" s="2" t="s">
        <v>40</v>
      </c>
      <c r="F280" s="2" t="s">
        <v>18</v>
      </c>
      <c r="G280" s="2" t="s">
        <v>21</v>
      </c>
      <c r="H280" s="4">
        <v>24</v>
      </c>
      <c r="I28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81" spans="1:9">
      <c r="A281" s="2" t="s">
        <v>205</v>
      </c>
      <c r="B281" s="2" t="s">
        <v>83</v>
      </c>
      <c r="C281" s="3">
        <v>43131</v>
      </c>
      <c r="D281" s="2">
        <v>118</v>
      </c>
      <c r="E281" s="2" t="s">
        <v>40</v>
      </c>
      <c r="F281" s="2" t="s">
        <v>15</v>
      </c>
      <c r="G281" s="2" t="s">
        <v>19</v>
      </c>
      <c r="H281" s="4">
        <v>31</v>
      </c>
      <c r="I28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82" spans="1:9">
      <c r="A282" s="2" t="s">
        <v>204</v>
      </c>
      <c r="B282" s="2" t="s">
        <v>83</v>
      </c>
      <c r="C282" s="3">
        <v>43132</v>
      </c>
      <c r="D282" s="2">
        <v>117</v>
      </c>
      <c r="E282" s="2" t="s">
        <v>9</v>
      </c>
      <c r="F282" s="2" t="s">
        <v>13</v>
      </c>
      <c r="G282" s="2" t="s">
        <v>16</v>
      </c>
      <c r="H282" s="4">
        <v>30</v>
      </c>
      <c r="I28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83" spans="1:9">
      <c r="A283" s="2" t="s">
        <v>203</v>
      </c>
      <c r="B283" s="2" t="s">
        <v>82</v>
      </c>
      <c r="C283" s="3">
        <v>43133</v>
      </c>
      <c r="D283" s="2">
        <v>116</v>
      </c>
      <c r="E283" s="2" t="s">
        <v>9</v>
      </c>
      <c r="F283" s="2" t="s">
        <v>10</v>
      </c>
      <c r="G283" s="2" t="s">
        <v>14</v>
      </c>
      <c r="H283" s="4">
        <v>15</v>
      </c>
      <c r="I28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84" spans="1:9">
      <c r="A284" s="2" t="s">
        <v>202</v>
      </c>
      <c r="B284" s="2" t="s">
        <v>82</v>
      </c>
      <c r="C284" s="3">
        <v>43134</v>
      </c>
      <c r="D284" s="2">
        <v>115</v>
      </c>
      <c r="E284" s="2" t="s">
        <v>9</v>
      </c>
      <c r="F284" s="2" t="s">
        <v>30</v>
      </c>
      <c r="G284" s="2" t="s">
        <v>11</v>
      </c>
      <c r="H284" s="4">
        <v>19</v>
      </c>
      <c r="I28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85" spans="1:9">
      <c r="A285" s="2" t="s">
        <v>201</v>
      </c>
      <c r="B285" s="2" t="s">
        <v>81</v>
      </c>
      <c r="C285" s="3">
        <v>43140</v>
      </c>
      <c r="D285" s="2">
        <v>114</v>
      </c>
      <c r="E285" s="2" t="s">
        <v>9</v>
      </c>
      <c r="F285" s="2" t="s">
        <v>24</v>
      </c>
      <c r="G285" s="2" t="s">
        <v>25</v>
      </c>
      <c r="H285" s="4">
        <v>40</v>
      </c>
      <c r="I28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86" spans="1:9">
      <c r="A286" s="2" t="s">
        <v>200</v>
      </c>
      <c r="B286" s="2" t="s">
        <v>81</v>
      </c>
      <c r="C286" s="3">
        <v>43142</v>
      </c>
      <c r="D286" s="2">
        <v>113</v>
      </c>
      <c r="E286" s="2" t="s">
        <v>9</v>
      </c>
      <c r="F286" s="2" t="s">
        <v>20</v>
      </c>
      <c r="G286" s="2" t="s">
        <v>23</v>
      </c>
      <c r="H286" s="4">
        <v>21</v>
      </c>
      <c r="I28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87" spans="1:9">
      <c r="A287" s="2" t="s">
        <v>199</v>
      </c>
      <c r="B287" s="2" t="s">
        <v>80</v>
      </c>
      <c r="C287" s="3">
        <v>43145</v>
      </c>
      <c r="D287" s="2">
        <v>111</v>
      </c>
      <c r="E287" s="2" t="s">
        <v>9</v>
      </c>
      <c r="F287" s="2" t="s">
        <v>18</v>
      </c>
      <c r="G287" s="2" t="s">
        <v>19</v>
      </c>
      <c r="H287" s="4">
        <v>28</v>
      </c>
      <c r="I28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88" spans="1:9">
      <c r="A288" s="2" t="s">
        <v>199</v>
      </c>
      <c r="B288" s="2" t="s">
        <v>80</v>
      </c>
      <c r="C288" s="3">
        <v>43145</v>
      </c>
      <c r="D288" s="2">
        <v>112</v>
      </c>
      <c r="E288" s="2" t="s">
        <v>9</v>
      </c>
      <c r="F288" s="2" t="s">
        <v>13</v>
      </c>
      <c r="G288" s="2" t="s">
        <v>21</v>
      </c>
      <c r="H288" s="4">
        <v>25</v>
      </c>
      <c r="I28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89" spans="1:9">
      <c r="A289" s="2" t="s">
        <v>198</v>
      </c>
      <c r="B289" s="2" t="s">
        <v>79</v>
      </c>
      <c r="C289" s="3">
        <v>43149</v>
      </c>
      <c r="D289" s="2">
        <v>110</v>
      </c>
      <c r="E289" s="2" t="s">
        <v>9</v>
      </c>
      <c r="F289" s="2" t="s">
        <v>15</v>
      </c>
      <c r="G289" s="2" t="s">
        <v>16</v>
      </c>
      <c r="H289" s="4">
        <v>15</v>
      </c>
      <c r="I28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90" spans="1:9">
      <c r="A290" s="2" t="s">
        <v>197</v>
      </c>
      <c r="B290" s="2" t="s">
        <v>79</v>
      </c>
      <c r="C290" s="3">
        <v>43151</v>
      </c>
      <c r="D290" s="2">
        <v>109</v>
      </c>
      <c r="E290" s="2" t="s">
        <v>9</v>
      </c>
      <c r="F290" s="2" t="s">
        <v>13</v>
      </c>
      <c r="G290" s="2" t="s">
        <v>14</v>
      </c>
      <c r="H290" s="4">
        <v>27</v>
      </c>
      <c r="I29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91" spans="1:9">
      <c r="A291" s="2" t="s">
        <v>196</v>
      </c>
      <c r="B291" s="2" t="s">
        <v>78</v>
      </c>
      <c r="C291" s="3">
        <v>43153</v>
      </c>
      <c r="D291" s="2">
        <v>108</v>
      </c>
      <c r="E291" s="2" t="s">
        <v>9</v>
      </c>
      <c r="F291" s="2" t="s">
        <v>10</v>
      </c>
      <c r="G291" s="2" t="s">
        <v>11</v>
      </c>
      <c r="H291" s="4">
        <v>19</v>
      </c>
      <c r="I29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92" spans="1:9">
      <c r="A292" s="2" t="s">
        <v>194</v>
      </c>
      <c r="B292" s="2" t="s">
        <v>77</v>
      </c>
      <c r="C292" s="3">
        <v>43162</v>
      </c>
      <c r="D292" s="2">
        <v>106</v>
      </c>
      <c r="E292" s="2" t="s">
        <v>9</v>
      </c>
      <c r="F292" s="2" t="s">
        <v>20</v>
      </c>
      <c r="G292" s="2" t="s">
        <v>23</v>
      </c>
      <c r="H292" s="4">
        <v>21</v>
      </c>
      <c r="I29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93" spans="1:9">
      <c r="A293" s="2" t="s">
        <v>195</v>
      </c>
      <c r="B293" s="2" t="s">
        <v>78</v>
      </c>
      <c r="C293" s="3">
        <v>43162</v>
      </c>
      <c r="D293" s="2">
        <v>107</v>
      </c>
      <c r="E293" s="2" t="s">
        <v>9</v>
      </c>
      <c r="F293" s="2" t="s">
        <v>24</v>
      </c>
      <c r="G293" s="2" t="s">
        <v>25</v>
      </c>
      <c r="H293" s="4">
        <v>9</v>
      </c>
      <c r="I29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94" spans="1:9">
      <c r="A294" s="2" t="s">
        <v>193</v>
      </c>
      <c r="B294" s="2" t="s">
        <v>77</v>
      </c>
      <c r="C294" s="3">
        <v>43163</v>
      </c>
      <c r="D294" s="2">
        <v>105</v>
      </c>
      <c r="E294" s="2" t="s">
        <v>9</v>
      </c>
      <c r="F294" s="2" t="s">
        <v>18</v>
      </c>
      <c r="G294" s="2" t="s">
        <v>21</v>
      </c>
      <c r="H294" s="4">
        <v>33</v>
      </c>
      <c r="I29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295" spans="1:9">
      <c r="A295" s="2" t="s">
        <v>192</v>
      </c>
      <c r="B295" s="2" t="s">
        <v>76</v>
      </c>
      <c r="C295" s="3">
        <v>43167</v>
      </c>
      <c r="D295" s="2">
        <v>104</v>
      </c>
      <c r="E295" s="2" t="s">
        <v>9</v>
      </c>
      <c r="F295" s="2" t="s">
        <v>15</v>
      </c>
      <c r="G295" s="2" t="s">
        <v>19</v>
      </c>
      <c r="H295" s="4">
        <v>33</v>
      </c>
      <c r="I29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96" spans="1:9">
      <c r="A296" s="2" t="s">
        <v>191</v>
      </c>
      <c r="B296" s="2" t="s">
        <v>76</v>
      </c>
      <c r="C296" s="3">
        <v>43168</v>
      </c>
      <c r="D296" s="2">
        <v>103</v>
      </c>
      <c r="E296" s="2" t="s">
        <v>9</v>
      </c>
      <c r="F296" s="2" t="s">
        <v>13</v>
      </c>
      <c r="G296" s="2" t="s">
        <v>16</v>
      </c>
      <c r="H296" s="4">
        <v>19</v>
      </c>
      <c r="I29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97" spans="1:9">
      <c r="A297" s="2" t="s">
        <v>190</v>
      </c>
      <c r="B297" s="2" t="s">
        <v>75</v>
      </c>
      <c r="C297" s="3">
        <v>43180</v>
      </c>
      <c r="D297" s="2">
        <v>102</v>
      </c>
      <c r="E297" s="2" t="s">
        <v>9</v>
      </c>
      <c r="F297" s="2" t="s">
        <v>10</v>
      </c>
      <c r="G297" s="2" t="s">
        <v>14</v>
      </c>
      <c r="H297" s="4">
        <v>20</v>
      </c>
      <c r="I29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298" spans="1:9">
      <c r="A298" s="2" t="s">
        <v>188</v>
      </c>
      <c r="B298" s="2" t="s">
        <v>74</v>
      </c>
      <c r="C298" s="3">
        <v>43181</v>
      </c>
      <c r="D298" s="2">
        <v>100</v>
      </c>
      <c r="E298" s="2" t="s">
        <v>9</v>
      </c>
      <c r="F298" s="2" t="s">
        <v>24</v>
      </c>
      <c r="G298" s="2" t="s">
        <v>25</v>
      </c>
      <c r="H298" s="4">
        <v>34</v>
      </c>
      <c r="I29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299" spans="1:9">
      <c r="A299" s="2" t="s">
        <v>189</v>
      </c>
      <c r="B299" s="2" t="s">
        <v>75</v>
      </c>
      <c r="C299" s="3">
        <v>43181</v>
      </c>
      <c r="D299" s="2">
        <v>101</v>
      </c>
      <c r="E299" s="2" t="s">
        <v>9</v>
      </c>
      <c r="F299" s="2" t="s">
        <v>30</v>
      </c>
      <c r="G299" s="2" t="s">
        <v>11</v>
      </c>
      <c r="H299" s="4">
        <v>11</v>
      </c>
      <c r="I29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0" spans="1:9">
      <c r="A300" s="2" t="s">
        <v>187</v>
      </c>
      <c r="B300" s="2" t="s">
        <v>74</v>
      </c>
      <c r="C300" s="3">
        <v>43184</v>
      </c>
      <c r="D300" s="2">
        <v>99</v>
      </c>
      <c r="E300" s="2" t="s">
        <v>33</v>
      </c>
      <c r="F300" s="2" t="s">
        <v>20</v>
      </c>
      <c r="G300" s="2" t="s">
        <v>23</v>
      </c>
      <c r="H300" s="4">
        <v>39</v>
      </c>
      <c r="I30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1" spans="1:9">
      <c r="A301" s="2" t="s">
        <v>186</v>
      </c>
      <c r="B301" s="2" t="s">
        <v>73</v>
      </c>
      <c r="C301" s="3">
        <v>43185</v>
      </c>
      <c r="D301" s="2">
        <v>98</v>
      </c>
      <c r="E301" s="2" t="s">
        <v>33</v>
      </c>
      <c r="F301" s="2" t="s">
        <v>18</v>
      </c>
      <c r="G301" s="2" t="s">
        <v>21</v>
      </c>
      <c r="H301" s="4">
        <v>23</v>
      </c>
      <c r="I30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2" spans="1:9">
      <c r="A302" s="2" t="s">
        <v>185</v>
      </c>
      <c r="B302" s="2" t="s">
        <v>73</v>
      </c>
      <c r="C302" s="3">
        <v>43193</v>
      </c>
      <c r="D302" s="2">
        <v>97</v>
      </c>
      <c r="E302" s="2" t="s">
        <v>33</v>
      </c>
      <c r="F302" s="2" t="s">
        <v>15</v>
      </c>
      <c r="G302" s="2" t="s">
        <v>19</v>
      </c>
      <c r="H302" s="4">
        <v>25</v>
      </c>
      <c r="I30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03" spans="1:9">
      <c r="A303" s="2" t="s">
        <v>184</v>
      </c>
      <c r="B303" s="2" t="s">
        <v>72</v>
      </c>
      <c r="C303" s="3">
        <v>43194</v>
      </c>
      <c r="D303" s="2">
        <v>96</v>
      </c>
      <c r="E303" s="2" t="s">
        <v>33</v>
      </c>
      <c r="F303" s="2" t="s">
        <v>13</v>
      </c>
      <c r="G303" s="2" t="s">
        <v>16</v>
      </c>
      <c r="H303" s="4">
        <v>19</v>
      </c>
      <c r="I30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04" spans="1:9">
      <c r="A304" s="2" t="s">
        <v>183</v>
      </c>
      <c r="B304" s="2" t="s">
        <v>72</v>
      </c>
      <c r="C304" s="3">
        <v>43198</v>
      </c>
      <c r="D304" s="2">
        <v>95</v>
      </c>
      <c r="E304" s="2" t="s">
        <v>33</v>
      </c>
      <c r="F304" s="2" t="s">
        <v>10</v>
      </c>
      <c r="G304" s="2" t="s">
        <v>14</v>
      </c>
      <c r="H304" s="4">
        <v>10</v>
      </c>
      <c r="I30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05" spans="1:9">
      <c r="A305" s="2" t="s">
        <v>182</v>
      </c>
      <c r="B305" s="2" t="s">
        <v>71</v>
      </c>
      <c r="C305" s="3">
        <v>43199</v>
      </c>
      <c r="D305" s="2">
        <v>94</v>
      </c>
      <c r="E305" s="2" t="s">
        <v>33</v>
      </c>
      <c r="F305" s="2" t="s">
        <v>30</v>
      </c>
      <c r="G305" s="2" t="s">
        <v>11</v>
      </c>
      <c r="H305" s="4">
        <v>11</v>
      </c>
      <c r="I30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6" spans="1:9">
      <c r="A306" s="2" t="s">
        <v>181</v>
      </c>
      <c r="B306" s="2" t="s">
        <v>71</v>
      </c>
      <c r="C306" s="3">
        <v>43204</v>
      </c>
      <c r="D306" s="2">
        <v>93</v>
      </c>
      <c r="E306" s="2" t="s">
        <v>33</v>
      </c>
      <c r="F306" s="2" t="s">
        <v>24</v>
      </c>
      <c r="G306" s="2" t="s">
        <v>23</v>
      </c>
      <c r="H306" s="4">
        <v>18</v>
      </c>
      <c r="I30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07" spans="1:9">
      <c r="A307" s="2" t="s">
        <v>180</v>
      </c>
      <c r="B307" s="2" t="s">
        <v>70</v>
      </c>
      <c r="C307" s="3">
        <v>43205</v>
      </c>
      <c r="D307" s="2">
        <v>92</v>
      </c>
      <c r="E307" s="2" t="s">
        <v>33</v>
      </c>
      <c r="F307" s="2" t="s">
        <v>20</v>
      </c>
      <c r="G307" s="2" t="s">
        <v>21</v>
      </c>
      <c r="H307" s="4">
        <v>35</v>
      </c>
      <c r="I30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8" spans="1:9">
      <c r="A308" s="2" t="s">
        <v>179</v>
      </c>
      <c r="B308" s="2" t="s">
        <v>70</v>
      </c>
      <c r="C308" s="3">
        <v>43207</v>
      </c>
      <c r="D308" s="2">
        <v>91</v>
      </c>
      <c r="E308" s="2" t="s">
        <v>33</v>
      </c>
      <c r="F308" s="2" t="s">
        <v>18</v>
      </c>
      <c r="G308" s="2" t="s">
        <v>19</v>
      </c>
      <c r="H308" s="4">
        <v>36</v>
      </c>
      <c r="I30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09" spans="1:9">
      <c r="A309" s="2" t="s">
        <v>178</v>
      </c>
      <c r="B309" s="2" t="s">
        <v>69</v>
      </c>
      <c r="C309" s="3">
        <v>43214</v>
      </c>
      <c r="D309" s="2">
        <v>90</v>
      </c>
      <c r="E309" s="2" t="s">
        <v>33</v>
      </c>
      <c r="F309" s="2" t="s">
        <v>15</v>
      </c>
      <c r="G309" s="2" t="s">
        <v>16</v>
      </c>
      <c r="H309" s="4">
        <v>31</v>
      </c>
      <c r="I30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10" spans="1:9">
      <c r="A310" s="2" t="s">
        <v>177</v>
      </c>
      <c r="B310" s="2" t="s">
        <v>69</v>
      </c>
      <c r="C310" s="3">
        <v>43215</v>
      </c>
      <c r="D310" s="2">
        <v>89</v>
      </c>
      <c r="E310" s="2" t="s">
        <v>33</v>
      </c>
      <c r="F310" s="2" t="s">
        <v>13</v>
      </c>
      <c r="G310" s="2" t="s">
        <v>14</v>
      </c>
      <c r="H310" s="4">
        <v>11</v>
      </c>
      <c r="I31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11" spans="1:9">
      <c r="A311" s="2" t="s">
        <v>176</v>
      </c>
      <c r="B311" s="2" t="s">
        <v>68</v>
      </c>
      <c r="C311" s="3">
        <v>43216</v>
      </c>
      <c r="D311" s="2">
        <v>88</v>
      </c>
      <c r="E311" s="2" t="s">
        <v>33</v>
      </c>
      <c r="F311" s="2" t="s">
        <v>10</v>
      </c>
      <c r="G311" s="2" t="s">
        <v>11</v>
      </c>
      <c r="H311" s="4">
        <v>20</v>
      </c>
      <c r="I31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12" spans="1:9">
      <c r="A312" s="2" t="s">
        <v>175</v>
      </c>
      <c r="B312" s="2" t="s">
        <v>68</v>
      </c>
      <c r="C312" s="3">
        <v>43217</v>
      </c>
      <c r="D312" s="2">
        <v>87</v>
      </c>
      <c r="E312" s="2" t="s">
        <v>33</v>
      </c>
      <c r="F312" s="2" t="s">
        <v>24</v>
      </c>
      <c r="G312" s="2" t="s">
        <v>23</v>
      </c>
      <c r="H312" s="4">
        <v>29</v>
      </c>
      <c r="I31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13" spans="1:9">
      <c r="A313" s="2" t="s">
        <v>174</v>
      </c>
      <c r="B313" s="2" t="s">
        <v>67</v>
      </c>
      <c r="C313" s="3">
        <v>43224</v>
      </c>
      <c r="D313" s="2">
        <v>86</v>
      </c>
      <c r="E313" s="2" t="s">
        <v>33</v>
      </c>
      <c r="F313" s="2" t="s">
        <v>20</v>
      </c>
      <c r="G313" s="2" t="s">
        <v>21</v>
      </c>
      <c r="H313" s="4">
        <v>15</v>
      </c>
      <c r="I31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14" spans="1:9">
      <c r="A314" s="2" t="s">
        <v>173</v>
      </c>
      <c r="B314" s="2" t="s">
        <v>67</v>
      </c>
      <c r="C314" s="3">
        <v>43228</v>
      </c>
      <c r="D314" s="2">
        <v>85</v>
      </c>
      <c r="E314" s="2" t="s">
        <v>33</v>
      </c>
      <c r="F314" s="2" t="s">
        <v>18</v>
      </c>
      <c r="G314" s="2" t="s">
        <v>19</v>
      </c>
      <c r="H314" s="4">
        <v>15</v>
      </c>
      <c r="I31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15" spans="1:9">
      <c r="A315" s="2" t="s">
        <v>172</v>
      </c>
      <c r="B315" s="2" t="s">
        <v>66</v>
      </c>
      <c r="C315" s="3">
        <v>43229</v>
      </c>
      <c r="D315" s="2">
        <v>84</v>
      </c>
      <c r="E315" s="2" t="s">
        <v>33</v>
      </c>
      <c r="F315" s="2" t="s">
        <v>15</v>
      </c>
      <c r="G315" s="2" t="s">
        <v>16</v>
      </c>
      <c r="H315" s="4">
        <v>12</v>
      </c>
      <c r="I31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16" spans="1:9">
      <c r="A316" s="2" t="s">
        <v>171</v>
      </c>
      <c r="B316" s="2" t="s">
        <v>66</v>
      </c>
      <c r="C316" s="3">
        <v>43234</v>
      </c>
      <c r="D316" s="2">
        <v>83</v>
      </c>
      <c r="E316" s="2" t="s">
        <v>33</v>
      </c>
      <c r="F316" s="2" t="s">
        <v>13</v>
      </c>
      <c r="G316" s="2" t="s">
        <v>14</v>
      </c>
      <c r="H316" s="4">
        <v>21</v>
      </c>
      <c r="I31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17" spans="1:9">
      <c r="A317" s="2" t="s">
        <v>168</v>
      </c>
      <c r="B317" s="2" t="s">
        <v>64</v>
      </c>
      <c r="C317" s="3">
        <v>43235</v>
      </c>
      <c r="D317" s="2">
        <v>80</v>
      </c>
      <c r="E317" s="2" t="s">
        <v>33</v>
      </c>
      <c r="F317" s="2" t="s">
        <v>24</v>
      </c>
      <c r="G317" s="2" t="s">
        <v>21</v>
      </c>
      <c r="H317" s="4">
        <v>22</v>
      </c>
      <c r="I31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18" spans="1:9">
      <c r="A318" s="2" t="s">
        <v>169</v>
      </c>
      <c r="B318" s="2" t="s">
        <v>65</v>
      </c>
      <c r="C318" s="3">
        <v>43235</v>
      </c>
      <c r="D318" s="2">
        <v>81</v>
      </c>
      <c r="E318" s="2" t="s">
        <v>33</v>
      </c>
      <c r="F318" s="2" t="s">
        <v>30</v>
      </c>
      <c r="G318" s="2" t="s">
        <v>23</v>
      </c>
      <c r="H318" s="4">
        <v>27</v>
      </c>
      <c r="I31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19" spans="1:9">
      <c r="A319" s="2" t="s">
        <v>170</v>
      </c>
      <c r="B319" s="2" t="s">
        <v>65</v>
      </c>
      <c r="C319" s="3">
        <v>43235</v>
      </c>
      <c r="D319" s="2">
        <v>82</v>
      </c>
      <c r="E319" s="2" t="s">
        <v>33</v>
      </c>
      <c r="F319" s="2" t="s">
        <v>10</v>
      </c>
      <c r="G319" s="2" t="s">
        <v>11</v>
      </c>
      <c r="H319" s="4">
        <v>11</v>
      </c>
      <c r="I31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20" spans="1:9">
      <c r="A320" s="2" t="s">
        <v>167</v>
      </c>
      <c r="B320" s="2" t="s">
        <v>64</v>
      </c>
      <c r="C320" s="3">
        <v>43236</v>
      </c>
      <c r="D320" s="2">
        <v>79</v>
      </c>
      <c r="E320" s="2" t="s">
        <v>33</v>
      </c>
      <c r="F320" s="2" t="s">
        <v>20</v>
      </c>
      <c r="G320" s="2" t="s">
        <v>19</v>
      </c>
      <c r="H320" s="4">
        <v>13</v>
      </c>
      <c r="I32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1" spans="1:9">
      <c r="A321" s="2" t="s">
        <v>166</v>
      </c>
      <c r="B321" s="2" t="s">
        <v>63</v>
      </c>
      <c r="C321" s="3">
        <v>43237</v>
      </c>
      <c r="D321" s="2">
        <v>78</v>
      </c>
      <c r="E321" s="2" t="s">
        <v>33</v>
      </c>
      <c r="F321" s="2" t="s">
        <v>18</v>
      </c>
      <c r="G321" s="2" t="s">
        <v>16</v>
      </c>
      <c r="H321" s="4">
        <v>37</v>
      </c>
      <c r="I32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2" spans="1:9">
      <c r="A322" s="2" t="s">
        <v>165</v>
      </c>
      <c r="B322" s="2" t="s">
        <v>63</v>
      </c>
      <c r="C322" s="3">
        <v>43238</v>
      </c>
      <c r="D322" s="2">
        <v>77</v>
      </c>
      <c r="E322" s="2" t="s">
        <v>33</v>
      </c>
      <c r="F322" s="2" t="s">
        <v>15</v>
      </c>
      <c r="G322" s="2" t="s">
        <v>14</v>
      </c>
      <c r="H322" s="4">
        <v>35</v>
      </c>
      <c r="I32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23" spans="1:9">
      <c r="A323" s="2" t="s">
        <v>164</v>
      </c>
      <c r="B323" s="2" t="s">
        <v>62</v>
      </c>
      <c r="C323" s="3">
        <v>43240</v>
      </c>
      <c r="D323" s="2">
        <v>76</v>
      </c>
      <c r="E323" s="2" t="s">
        <v>33</v>
      </c>
      <c r="F323" s="2" t="s">
        <v>13</v>
      </c>
      <c r="G323" s="2" t="s">
        <v>11</v>
      </c>
      <c r="H323" s="4">
        <v>21</v>
      </c>
      <c r="I32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24" spans="1:9">
      <c r="A324" s="2" t="s">
        <v>163</v>
      </c>
      <c r="B324" s="2" t="s">
        <v>62</v>
      </c>
      <c r="C324" s="3">
        <v>43243</v>
      </c>
      <c r="D324" s="2">
        <v>75</v>
      </c>
      <c r="E324" s="2" t="s">
        <v>33</v>
      </c>
      <c r="F324" s="2" t="s">
        <v>10</v>
      </c>
      <c r="G324" s="2" t="s">
        <v>21</v>
      </c>
      <c r="H324" s="4">
        <v>27</v>
      </c>
      <c r="I32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25" spans="1:9">
      <c r="A325" s="2" t="s">
        <v>162</v>
      </c>
      <c r="B325" s="2" t="s">
        <v>61</v>
      </c>
      <c r="C325" s="3">
        <v>43244</v>
      </c>
      <c r="D325" s="2">
        <v>74</v>
      </c>
      <c r="E325" s="2" t="s">
        <v>33</v>
      </c>
      <c r="F325" s="2" t="s">
        <v>30</v>
      </c>
      <c r="G325" s="2" t="s">
        <v>19</v>
      </c>
      <c r="H325" s="4">
        <v>9</v>
      </c>
      <c r="I32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6" spans="1:9">
      <c r="A326" s="2" t="s">
        <v>159</v>
      </c>
      <c r="B326" s="2" t="s">
        <v>60</v>
      </c>
      <c r="C326" s="3">
        <v>43245</v>
      </c>
      <c r="D326" s="2">
        <v>71</v>
      </c>
      <c r="E326" s="2" t="s">
        <v>40</v>
      </c>
      <c r="F326" s="2" t="s">
        <v>18</v>
      </c>
      <c r="G326" s="2" t="s">
        <v>11</v>
      </c>
      <c r="H326" s="4">
        <v>39</v>
      </c>
      <c r="I32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7" spans="1:9">
      <c r="A327" s="2" t="s">
        <v>160</v>
      </c>
      <c r="B327" s="2" t="s">
        <v>60</v>
      </c>
      <c r="C327" s="3">
        <v>43245</v>
      </c>
      <c r="D327" s="2">
        <v>72</v>
      </c>
      <c r="E327" s="2" t="s">
        <v>40</v>
      </c>
      <c r="F327" s="2" t="s">
        <v>20</v>
      </c>
      <c r="G327" s="2" t="s">
        <v>14</v>
      </c>
      <c r="H327" s="4">
        <v>15</v>
      </c>
      <c r="I32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28" spans="1:9">
      <c r="A328" s="2" t="s">
        <v>161</v>
      </c>
      <c r="B328" s="2" t="s">
        <v>61</v>
      </c>
      <c r="C328" s="3">
        <v>43245</v>
      </c>
      <c r="D328" s="2">
        <v>73</v>
      </c>
      <c r="E328" s="2" t="s">
        <v>33</v>
      </c>
      <c r="F328" s="2" t="s">
        <v>24</v>
      </c>
      <c r="G328" s="2" t="s">
        <v>16</v>
      </c>
      <c r="H328" s="4">
        <v>28</v>
      </c>
      <c r="I32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29" spans="1:9">
      <c r="A329" s="2" t="s">
        <v>158</v>
      </c>
      <c r="B329" s="2" t="s">
        <v>59</v>
      </c>
      <c r="C329" s="3">
        <v>43252</v>
      </c>
      <c r="D329" s="2">
        <v>70</v>
      </c>
      <c r="E329" s="2" t="s">
        <v>40</v>
      </c>
      <c r="F329" s="2" t="s">
        <v>15</v>
      </c>
      <c r="G329" s="2" t="s">
        <v>23</v>
      </c>
      <c r="H329" s="4">
        <v>33</v>
      </c>
      <c r="I32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30" spans="1:9">
      <c r="A330" s="2" t="s">
        <v>157</v>
      </c>
      <c r="B330" s="2" t="s">
        <v>59</v>
      </c>
      <c r="C330" s="3">
        <v>43253</v>
      </c>
      <c r="D330" s="2">
        <v>69</v>
      </c>
      <c r="E330" s="2" t="s">
        <v>40</v>
      </c>
      <c r="F330" s="2" t="s">
        <v>13</v>
      </c>
      <c r="G330" s="2" t="s">
        <v>21</v>
      </c>
      <c r="H330" s="4">
        <v>19</v>
      </c>
      <c r="I33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31" spans="1:9">
      <c r="A331" s="2" t="s">
        <v>156</v>
      </c>
      <c r="B331" s="2" t="s">
        <v>58</v>
      </c>
      <c r="C331" s="3">
        <v>43256</v>
      </c>
      <c r="D331" s="2">
        <v>68</v>
      </c>
      <c r="E331" s="2" t="s">
        <v>40</v>
      </c>
      <c r="F331" s="2" t="s">
        <v>10</v>
      </c>
      <c r="G331" s="2" t="s">
        <v>19</v>
      </c>
      <c r="H331" s="4">
        <v>31</v>
      </c>
      <c r="I33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32" spans="1:9">
      <c r="A332" s="2" t="s">
        <v>155</v>
      </c>
      <c r="B332" s="2" t="s">
        <v>58</v>
      </c>
      <c r="C332" s="3">
        <v>43261</v>
      </c>
      <c r="D332" s="2">
        <v>67</v>
      </c>
      <c r="E332" s="2" t="s">
        <v>9</v>
      </c>
      <c r="F332" s="2" t="s">
        <v>24</v>
      </c>
      <c r="G332" s="2" t="s">
        <v>16</v>
      </c>
      <c r="H332" s="4">
        <v>11</v>
      </c>
      <c r="I33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33" spans="1:9">
      <c r="A333" s="2" t="s">
        <v>154</v>
      </c>
      <c r="B333" s="2" t="s">
        <v>57</v>
      </c>
      <c r="C333" s="3">
        <v>43266</v>
      </c>
      <c r="D333" s="2">
        <v>66</v>
      </c>
      <c r="E333" s="2" t="s">
        <v>9</v>
      </c>
      <c r="F333" s="2" t="s">
        <v>20</v>
      </c>
      <c r="G333" s="2" t="s">
        <v>14</v>
      </c>
      <c r="H333" s="4">
        <v>37</v>
      </c>
      <c r="I33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34" spans="1:9">
      <c r="A334" s="2" t="s">
        <v>152</v>
      </c>
      <c r="B334" s="2" t="s">
        <v>56</v>
      </c>
      <c r="C334" s="3">
        <v>43268</v>
      </c>
      <c r="D334" s="2">
        <v>64</v>
      </c>
      <c r="E334" s="2" t="s">
        <v>9</v>
      </c>
      <c r="F334" s="2" t="s">
        <v>15</v>
      </c>
      <c r="G334" s="2" t="s">
        <v>19</v>
      </c>
      <c r="H334" s="4">
        <v>30</v>
      </c>
      <c r="I33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35" spans="1:9">
      <c r="A335" s="2" t="s">
        <v>153</v>
      </c>
      <c r="B335" s="2" t="s">
        <v>57</v>
      </c>
      <c r="C335" s="3">
        <v>43268</v>
      </c>
      <c r="D335" s="2">
        <v>65</v>
      </c>
      <c r="E335" s="2" t="s">
        <v>9</v>
      </c>
      <c r="F335" s="2" t="s">
        <v>18</v>
      </c>
      <c r="G335" s="2" t="s">
        <v>11</v>
      </c>
      <c r="H335" s="4">
        <v>31</v>
      </c>
      <c r="I33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36" spans="1:9">
      <c r="A336" s="2" t="s">
        <v>151</v>
      </c>
      <c r="B336" s="2" t="s">
        <v>56</v>
      </c>
      <c r="C336" s="3">
        <v>43269</v>
      </c>
      <c r="D336" s="2">
        <v>63</v>
      </c>
      <c r="E336" s="2" t="s">
        <v>9</v>
      </c>
      <c r="F336" s="2" t="s">
        <v>13</v>
      </c>
      <c r="G336" s="2" t="s">
        <v>16</v>
      </c>
      <c r="H336" s="4">
        <v>15</v>
      </c>
      <c r="I33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37" spans="1:9">
      <c r="A337" s="2" t="s">
        <v>150</v>
      </c>
      <c r="B337" s="2" t="s">
        <v>55</v>
      </c>
      <c r="C337" s="3">
        <v>43273</v>
      </c>
      <c r="D337" s="2">
        <v>62</v>
      </c>
      <c r="E337" s="2" t="s">
        <v>9</v>
      </c>
      <c r="F337" s="2" t="s">
        <v>10</v>
      </c>
      <c r="G337" s="2" t="s">
        <v>14</v>
      </c>
      <c r="H337" s="4">
        <v>38</v>
      </c>
      <c r="I33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38" spans="1:9">
      <c r="A338" s="2" t="s">
        <v>148</v>
      </c>
      <c r="B338" s="2" t="s">
        <v>54</v>
      </c>
      <c r="C338" s="3">
        <v>43282</v>
      </c>
      <c r="D338" s="2">
        <v>60</v>
      </c>
      <c r="E338" s="2" t="s">
        <v>9</v>
      </c>
      <c r="F338" s="2" t="s">
        <v>24</v>
      </c>
      <c r="G338" s="2" t="s">
        <v>25</v>
      </c>
      <c r="H338" s="4">
        <v>40</v>
      </c>
      <c r="I33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39" spans="1:9">
      <c r="A339" s="2" t="s">
        <v>149</v>
      </c>
      <c r="B339" s="2" t="s">
        <v>55</v>
      </c>
      <c r="C339" s="3">
        <v>43282</v>
      </c>
      <c r="D339" s="2">
        <v>61</v>
      </c>
      <c r="E339" s="2" t="s">
        <v>9</v>
      </c>
      <c r="F339" s="2" t="s">
        <v>30</v>
      </c>
      <c r="G339" s="2" t="s">
        <v>11</v>
      </c>
      <c r="H339" s="4">
        <v>17</v>
      </c>
      <c r="I33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0" spans="1:9">
      <c r="A340" s="2" t="s">
        <v>147</v>
      </c>
      <c r="B340" s="2" t="s">
        <v>54</v>
      </c>
      <c r="C340" s="3">
        <v>43285</v>
      </c>
      <c r="D340" s="2">
        <v>59</v>
      </c>
      <c r="E340" s="2" t="s">
        <v>9</v>
      </c>
      <c r="F340" s="2" t="s">
        <v>20</v>
      </c>
      <c r="G340" s="2" t="s">
        <v>23</v>
      </c>
      <c r="H340" s="4">
        <v>25</v>
      </c>
      <c r="I34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1" spans="1:9">
      <c r="A341" s="2" t="s">
        <v>145</v>
      </c>
      <c r="B341" s="2" t="s">
        <v>53</v>
      </c>
      <c r="C341" s="3">
        <v>43293</v>
      </c>
      <c r="D341" s="2">
        <v>57</v>
      </c>
      <c r="E341" s="2" t="s">
        <v>9</v>
      </c>
      <c r="F341" s="2" t="s">
        <v>15</v>
      </c>
      <c r="G341" s="2" t="s">
        <v>19</v>
      </c>
      <c r="H341" s="4">
        <v>30</v>
      </c>
      <c r="I34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42" spans="1:9">
      <c r="A342" s="2" t="s">
        <v>146</v>
      </c>
      <c r="B342" s="2" t="s">
        <v>53</v>
      </c>
      <c r="C342" s="3">
        <v>43293</v>
      </c>
      <c r="D342" s="2">
        <v>58</v>
      </c>
      <c r="E342" s="2" t="s">
        <v>9</v>
      </c>
      <c r="F342" s="2" t="s">
        <v>18</v>
      </c>
      <c r="G342" s="2" t="s">
        <v>21</v>
      </c>
      <c r="H342" s="4">
        <v>24</v>
      </c>
      <c r="I34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3" spans="1:9">
      <c r="A343" s="2" t="s">
        <v>144</v>
      </c>
      <c r="B343" s="2" t="s">
        <v>52</v>
      </c>
      <c r="C343" s="3">
        <v>43295</v>
      </c>
      <c r="D343" s="2">
        <v>56</v>
      </c>
      <c r="E343" s="2" t="s">
        <v>9</v>
      </c>
      <c r="F343" s="2" t="s">
        <v>13</v>
      </c>
      <c r="G343" s="2" t="s">
        <v>16</v>
      </c>
      <c r="H343" s="4">
        <v>39</v>
      </c>
      <c r="I34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44" spans="1:9">
      <c r="A344" s="2" t="s">
        <v>143</v>
      </c>
      <c r="B344" s="2" t="s">
        <v>52</v>
      </c>
      <c r="C344" s="3">
        <v>43298</v>
      </c>
      <c r="D344" s="2">
        <v>55</v>
      </c>
      <c r="E344" s="2" t="s">
        <v>9</v>
      </c>
      <c r="F344" s="2" t="s">
        <v>10</v>
      </c>
      <c r="G344" s="2" t="s">
        <v>14</v>
      </c>
      <c r="H344" s="4">
        <v>39</v>
      </c>
      <c r="I34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45" spans="1:9">
      <c r="A345" s="2" t="s">
        <v>142</v>
      </c>
      <c r="B345" s="2" t="s">
        <v>51</v>
      </c>
      <c r="C345" s="3">
        <v>43301</v>
      </c>
      <c r="D345" s="2">
        <v>54</v>
      </c>
      <c r="E345" s="2" t="s">
        <v>9</v>
      </c>
      <c r="F345" s="2" t="s">
        <v>30</v>
      </c>
      <c r="G345" s="2" t="s">
        <v>11</v>
      </c>
      <c r="H345" s="4">
        <v>32</v>
      </c>
      <c r="I34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6" spans="1:9">
      <c r="A346" s="2" t="s">
        <v>141</v>
      </c>
      <c r="B346" s="2" t="s">
        <v>51</v>
      </c>
      <c r="C346" s="3">
        <v>43305</v>
      </c>
      <c r="D346" s="2">
        <v>53</v>
      </c>
      <c r="E346" s="2" t="s">
        <v>9</v>
      </c>
      <c r="F346" s="2" t="s">
        <v>24</v>
      </c>
      <c r="G346" s="2" t="s">
        <v>25</v>
      </c>
      <c r="H346" s="4">
        <v>12</v>
      </c>
      <c r="I34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47" spans="1:9">
      <c r="A347" s="2" t="s">
        <v>139</v>
      </c>
      <c r="B347" s="2" t="s">
        <v>50</v>
      </c>
      <c r="C347" s="3">
        <v>43307</v>
      </c>
      <c r="D347" s="2">
        <v>51</v>
      </c>
      <c r="E347" s="2" t="s">
        <v>9</v>
      </c>
      <c r="F347" s="2" t="s">
        <v>18</v>
      </c>
      <c r="G347" s="2" t="s">
        <v>21</v>
      </c>
      <c r="H347" s="4">
        <v>38</v>
      </c>
      <c r="I34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8" spans="1:9">
      <c r="A348" s="2" t="s">
        <v>140</v>
      </c>
      <c r="B348" s="2" t="s">
        <v>50</v>
      </c>
      <c r="C348" s="3">
        <v>43307</v>
      </c>
      <c r="D348" s="2">
        <v>52</v>
      </c>
      <c r="E348" s="2" t="s">
        <v>9</v>
      </c>
      <c r="F348" s="2" t="s">
        <v>20</v>
      </c>
      <c r="G348" s="2" t="s">
        <v>23</v>
      </c>
      <c r="H348" s="4">
        <v>18</v>
      </c>
      <c r="I34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49" spans="1:9">
      <c r="A349" s="2" t="s">
        <v>138</v>
      </c>
      <c r="B349" s="2" t="s">
        <v>49</v>
      </c>
      <c r="C349" s="3">
        <v>43308</v>
      </c>
      <c r="D349" s="2">
        <v>50</v>
      </c>
      <c r="E349" s="2" t="s">
        <v>9</v>
      </c>
      <c r="F349" s="2" t="s">
        <v>15</v>
      </c>
      <c r="G349" s="2" t="s">
        <v>19</v>
      </c>
      <c r="H349" s="4">
        <v>36</v>
      </c>
      <c r="I34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50" spans="1:9">
      <c r="A350" s="2" t="s">
        <v>137</v>
      </c>
      <c r="B350" s="2" t="s">
        <v>49</v>
      </c>
      <c r="C350" s="3">
        <v>43309</v>
      </c>
      <c r="D350" s="2">
        <v>49</v>
      </c>
      <c r="E350" s="2" t="s">
        <v>9</v>
      </c>
      <c r="F350" s="2" t="s">
        <v>13</v>
      </c>
      <c r="G350" s="2" t="s">
        <v>16</v>
      </c>
      <c r="H350" s="4">
        <v>25</v>
      </c>
      <c r="I35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51" spans="1:9">
      <c r="A351" s="2" t="s">
        <v>136</v>
      </c>
      <c r="B351" s="2" t="s">
        <v>48</v>
      </c>
      <c r="C351" s="3">
        <v>43310</v>
      </c>
      <c r="D351" s="2">
        <v>48</v>
      </c>
      <c r="E351" s="2" t="s">
        <v>40</v>
      </c>
      <c r="F351" s="2" t="s">
        <v>10</v>
      </c>
      <c r="G351" s="2" t="s">
        <v>14</v>
      </c>
      <c r="H351" s="4">
        <v>20</v>
      </c>
      <c r="I35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52" spans="1:9">
      <c r="A352" s="2" t="s">
        <v>135</v>
      </c>
      <c r="B352" s="2" t="s">
        <v>48</v>
      </c>
      <c r="C352" s="3">
        <v>43316</v>
      </c>
      <c r="D352" s="2">
        <v>47</v>
      </c>
      <c r="E352" s="2" t="s">
        <v>40</v>
      </c>
      <c r="F352" s="2" t="s">
        <v>24</v>
      </c>
      <c r="G352" s="2" t="s">
        <v>11</v>
      </c>
      <c r="H352" s="4">
        <v>18</v>
      </c>
      <c r="I35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53" spans="1:9">
      <c r="A353" s="2" t="s">
        <v>134</v>
      </c>
      <c r="B353" s="2" t="s">
        <v>47</v>
      </c>
      <c r="C353" s="3">
        <v>43326</v>
      </c>
      <c r="D353" s="2">
        <v>46</v>
      </c>
      <c r="E353" s="2" t="s">
        <v>40</v>
      </c>
      <c r="F353" s="2" t="s">
        <v>20</v>
      </c>
      <c r="G353" s="2" t="s">
        <v>19</v>
      </c>
      <c r="H353" s="4">
        <v>23</v>
      </c>
      <c r="I35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54" spans="1:9">
      <c r="A354" s="2" t="s">
        <v>133</v>
      </c>
      <c r="B354" s="2" t="s">
        <v>47</v>
      </c>
      <c r="C354" s="3">
        <v>43331</v>
      </c>
      <c r="D354" s="2">
        <v>45</v>
      </c>
      <c r="E354" s="2" t="s">
        <v>40</v>
      </c>
      <c r="F354" s="2" t="s">
        <v>18</v>
      </c>
      <c r="G354" s="2" t="s">
        <v>16</v>
      </c>
      <c r="H354" s="4">
        <v>14</v>
      </c>
      <c r="I35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55" spans="1:9">
      <c r="A355" s="2" t="s">
        <v>132</v>
      </c>
      <c r="B355" s="2" t="s">
        <v>46</v>
      </c>
      <c r="C355" s="3">
        <v>43336</v>
      </c>
      <c r="D355" s="2">
        <v>44</v>
      </c>
      <c r="E355" s="2" t="s">
        <v>40</v>
      </c>
      <c r="F355" s="2" t="s">
        <v>15</v>
      </c>
      <c r="G355" s="2" t="s">
        <v>14</v>
      </c>
      <c r="H355" s="4">
        <v>19</v>
      </c>
      <c r="I35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56" spans="1:9">
      <c r="A356" s="2" t="s">
        <v>131</v>
      </c>
      <c r="B356" s="2" t="s">
        <v>46</v>
      </c>
      <c r="C356" s="3">
        <v>43354</v>
      </c>
      <c r="D356" s="2">
        <v>43</v>
      </c>
      <c r="E356" s="2" t="s">
        <v>40</v>
      </c>
      <c r="F356" s="2" t="s">
        <v>13</v>
      </c>
      <c r="G356" s="2" t="s">
        <v>11</v>
      </c>
      <c r="H356" s="4">
        <v>32</v>
      </c>
      <c r="I35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57" spans="1:9">
      <c r="A357" s="2" t="s">
        <v>130</v>
      </c>
      <c r="B357" s="2" t="s">
        <v>45</v>
      </c>
      <c r="C357" s="3">
        <v>43356</v>
      </c>
      <c r="D357" s="2">
        <v>42</v>
      </c>
      <c r="E357" s="2" t="s">
        <v>40</v>
      </c>
      <c r="F357" s="2" t="s">
        <v>10</v>
      </c>
      <c r="G357" s="2" t="s">
        <v>25</v>
      </c>
      <c r="H357" s="4">
        <v>27</v>
      </c>
      <c r="I35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58" spans="1:9">
      <c r="A358" s="2" t="s">
        <v>129</v>
      </c>
      <c r="B358" s="2" t="s">
        <v>45</v>
      </c>
      <c r="C358" s="3">
        <v>43357</v>
      </c>
      <c r="D358" s="2">
        <v>41</v>
      </c>
      <c r="E358" s="2" t="s">
        <v>40</v>
      </c>
      <c r="F358" s="2" t="s">
        <v>30</v>
      </c>
      <c r="G358" s="2" t="s">
        <v>23</v>
      </c>
      <c r="H358" s="4">
        <v>20</v>
      </c>
      <c r="I35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59" spans="1:9">
      <c r="A359" s="2" t="s">
        <v>128</v>
      </c>
      <c r="B359" s="2" t="s">
        <v>44</v>
      </c>
      <c r="C359" s="3">
        <v>43358</v>
      </c>
      <c r="D359" s="2">
        <v>40</v>
      </c>
      <c r="E359" s="2" t="s">
        <v>40</v>
      </c>
      <c r="F359" s="2" t="s">
        <v>24</v>
      </c>
      <c r="G359" s="2" t="s">
        <v>21</v>
      </c>
      <c r="H359" s="4">
        <v>28</v>
      </c>
      <c r="I35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60" spans="1:9">
      <c r="A360" s="2" t="s">
        <v>127</v>
      </c>
      <c r="B360" s="2" t="s">
        <v>44</v>
      </c>
      <c r="C360" s="3">
        <v>43364</v>
      </c>
      <c r="D360" s="2">
        <v>39</v>
      </c>
      <c r="E360" s="2" t="s">
        <v>40</v>
      </c>
      <c r="F360" s="2" t="s">
        <v>20</v>
      </c>
      <c r="G360" s="2" t="s">
        <v>19</v>
      </c>
      <c r="H360" s="4">
        <v>16</v>
      </c>
      <c r="I36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1" spans="1:9">
      <c r="A361" s="2" t="s">
        <v>125</v>
      </c>
      <c r="B361" s="2" t="s">
        <v>43</v>
      </c>
      <c r="C361" s="3">
        <v>43365</v>
      </c>
      <c r="D361" s="2">
        <v>37</v>
      </c>
      <c r="E361" s="2" t="s">
        <v>40</v>
      </c>
      <c r="F361" s="2" t="s">
        <v>15</v>
      </c>
      <c r="G361" s="2" t="s">
        <v>14</v>
      </c>
      <c r="H361" s="4">
        <v>23</v>
      </c>
      <c r="I36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62" spans="1:9">
      <c r="A362" s="2" t="s">
        <v>126</v>
      </c>
      <c r="B362" s="2" t="s">
        <v>43</v>
      </c>
      <c r="C362" s="3">
        <v>43365</v>
      </c>
      <c r="D362" s="2">
        <v>38</v>
      </c>
      <c r="E362" s="2" t="s">
        <v>40</v>
      </c>
      <c r="F362" s="2" t="s">
        <v>18</v>
      </c>
      <c r="G362" s="2" t="s">
        <v>16</v>
      </c>
      <c r="H362" s="4">
        <v>34</v>
      </c>
      <c r="I36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3" spans="1:9">
      <c r="A363" s="2" t="s">
        <v>123</v>
      </c>
      <c r="B363" s="2" t="s">
        <v>42</v>
      </c>
      <c r="C363" s="3">
        <v>43370</v>
      </c>
      <c r="D363" s="2">
        <v>35</v>
      </c>
      <c r="E363" s="2" t="s">
        <v>40</v>
      </c>
      <c r="F363" s="2" t="s">
        <v>10</v>
      </c>
      <c r="G363" s="2" t="s">
        <v>25</v>
      </c>
      <c r="H363" s="4">
        <v>24</v>
      </c>
      <c r="I36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64" spans="1:9">
      <c r="A364" s="2" t="s">
        <v>124</v>
      </c>
      <c r="B364" s="2" t="s">
        <v>42</v>
      </c>
      <c r="C364" s="3">
        <v>43370</v>
      </c>
      <c r="D364" s="2">
        <v>36</v>
      </c>
      <c r="E364" s="2" t="s">
        <v>40</v>
      </c>
      <c r="F364" s="2" t="s">
        <v>13</v>
      </c>
      <c r="G364" s="2" t="s">
        <v>11</v>
      </c>
      <c r="H364" s="4">
        <v>37</v>
      </c>
      <c r="I36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65" spans="1:9">
      <c r="A365" s="2" t="s">
        <v>122</v>
      </c>
      <c r="B365" s="2" t="s">
        <v>41</v>
      </c>
      <c r="C365" s="3">
        <v>43372</v>
      </c>
      <c r="D365" s="2">
        <v>34</v>
      </c>
      <c r="E365" s="2" t="s">
        <v>40</v>
      </c>
      <c r="F365" s="2" t="s">
        <v>30</v>
      </c>
      <c r="G365" s="2" t="s">
        <v>23</v>
      </c>
      <c r="H365" s="4">
        <v>32</v>
      </c>
      <c r="I36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6" spans="1:9">
      <c r="A366" s="2" t="s">
        <v>121</v>
      </c>
      <c r="B366" s="2" t="s">
        <v>41</v>
      </c>
      <c r="C366" s="3">
        <v>43376</v>
      </c>
      <c r="D366" s="2">
        <v>33</v>
      </c>
      <c r="E366" s="2" t="s">
        <v>40</v>
      </c>
      <c r="F366" s="2" t="s">
        <v>24</v>
      </c>
      <c r="G366" s="2" t="s">
        <v>21</v>
      </c>
      <c r="H366" s="4">
        <v>19</v>
      </c>
      <c r="I36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67" spans="1:9">
      <c r="A367" s="2" t="s">
        <v>119</v>
      </c>
      <c r="B367" s="2" t="s">
        <v>39</v>
      </c>
      <c r="C367" s="3">
        <v>43378</v>
      </c>
      <c r="D367" s="2">
        <v>31</v>
      </c>
      <c r="E367" s="2" t="s">
        <v>33</v>
      </c>
      <c r="F367" s="2" t="s">
        <v>18</v>
      </c>
      <c r="G367" s="2" t="s">
        <v>16</v>
      </c>
      <c r="H367" s="4">
        <v>35</v>
      </c>
      <c r="I36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8" spans="1:9">
      <c r="A368" s="2" t="s">
        <v>120</v>
      </c>
      <c r="B368" s="2" t="s">
        <v>39</v>
      </c>
      <c r="C368" s="3">
        <v>43378</v>
      </c>
      <c r="D368" s="2">
        <v>32</v>
      </c>
      <c r="E368" s="2" t="s">
        <v>40</v>
      </c>
      <c r="F368" s="2" t="s">
        <v>20</v>
      </c>
      <c r="G368" s="2" t="s">
        <v>19</v>
      </c>
      <c r="H368" s="4">
        <v>39</v>
      </c>
      <c r="I36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69" spans="1:9">
      <c r="A369" s="2" t="s">
        <v>118</v>
      </c>
      <c r="B369" s="2" t="s">
        <v>38</v>
      </c>
      <c r="C369" s="3">
        <v>43379</v>
      </c>
      <c r="D369" s="2">
        <v>30</v>
      </c>
      <c r="E369" s="2" t="s">
        <v>33</v>
      </c>
      <c r="F369" s="2" t="s">
        <v>15</v>
      </c>
      <c r="G369" s="2" t="s">
        <v>14</v>
      </c>
      <c r="H369" s="4">
        <v>21</v>
      </c>
      <c r="I36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70" spans="1:9">
      <c r="A370" s="2" t="s">
        <v>117</v>
      </c>
      <c r="B370" s="2" t="s">
        <v>38</v>
      </c>
      <c r="C370" s="3">
        <v>43389</v>
      </c>
      <c r="D370" s="2">
        <v>29</v>
      </c>
      <c r="E370" s="2" t="s">
        <v>33</v>
      </c>
      <c r="F370" s="2" t="s">
        <v>13</v>
      </c>
      <c r="G370" s="2" t="s">
        <v>11</v>
      </c>
      <c r="H370" s="4">
        <v>32</v>
      </c>
      <c r="I37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71" spans="1:9">
      <c r="A371" s="2" t="s">
        <v>116</v>
      </c>
      <c r="B371" s="2" t="s">
        <v>37</v>
      </c>
      <c r="C371" s="3">
        <v>43391</v>
      </c>
      <c r="D371" s="2">
        <v>28</v>
      </c>
      <c r="E371" s="2" t="s">
        <v>33</v>
      </c>
      <c r="F371" s="2" t="s">
        <v>10</v>
      </c>
      <c r="G371" s="2" t="s">
        <v>25</v>
      </c>
      <c r="H371" s="4">
        <v>10</v>
      </c>
      <c r="I37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72" spans="1:9">
      <c r="A372" s="2" t="s">
        <v>115</v>
      </c>
      <c r="B372" s="2" t="s">
        <v>37</v>
      </c>
      <c r="C372" s="3">
        <v>43392</v>
      </c>
      <c r="D372" s="2">
        <v>27</v>
      </c>
      <c r="E372" s="2" t="s">
        <v>33</v>
      </c>
      <c r="F372" s="2" t="s">
        <v>24</v>
      </c>
      <c r="G372" s="2" t="s">
        <v>23</v>
      </c>
      <c r="H372" s="4">
        <v>27</v>
      </c>
      <c r="I37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73" spans="1:9">
      <c r="A373" s="2" t="s">
        <v>113</v>
      </c>
      <c r="B373" s="2" t="s">
        <v>36</v>
      </c>
      <c r="C373" s="3">
        <v>43393</v>
      </c>
      <c r="D373" s="2">
        <v>25</v>
      </c>
      <c r="E373" s="2" t="s">
        <v>33</v>
      </c>
      <c r="F373" s="2" t="s">
        <v>18</v>
      </c>
      <c r="G373" s="2" t="s">
        <v>19</v>
      </c>
      <c r="H373" s="4">
        <v>40</v>
      </c>
      <c r="I37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74" spans="1:9">
      <c r="A374" s="2" t="s">
        <v>114</v>
      </c>
      <c r="B374" s="2" t="s">
        <v>36</v>
      </c>
      <c r="C374" s="3">
        <v>43393</v>
      </c>
      <c r="D374" s="2">
        <v>26</v>
      </c>
      <c r="E374" s="2" t="s">
        <v>33</v>
      </c>
      <c r="F374" s="2" t="s">
        <v>20</v>
      </c>
      <c r="G374" s="2" t="s">
        <v>21</v>
      </c>
      <c r="H374" s="4">
        <v>14</v>
      </c>
      <c r="I37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75" spans="1:9">
      <c r="A375" s="2" t="s">
        <v>112</v>
      </c>
      <c r="B375" s="2" t="s">
        <v>35</v>
      </c>
      <c r="C375" s="3">
        <v>43397</v>
      </c>
      <c r="D375" s="2">
        <v>24</v>
      </c>
      <c r="E375" s="2" t="s">
        <v>33</v>
      </c>
      <c r="F375" s="2" t="s">
        <v>15</v>
      </c>
      <c r="G375" s="2" t="s">
        <v>16</v>
      </c>
      <c r="H375" s="4">
        <v>34</v>
      </c>
      <c r="I37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76" spans="1:9">
      <c r="A376" s="2" t="s">
        <v>111</v>
      </c>
      <c r="B376" s="2" t="s">
        <v>35</v>
      </c>
      <c r="C376" s="3">
        <v>43398</v>
      </c>
      <c r="D376" s="2">
        <v>23</v>
      </c>
      <c r="E376" s="2" t="s">
        <v>33</v>
      </c>
      <c r="F376" s="2" t="s">
        <v>13</v>
      </c>
      <c r="G376" s="2" t="s">
        <v>14</v>
      </c>
      <c r="H376" s="4">
        <v>15</v>
      </c>
      <c r="I37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77" spans="1:9">
      <c r="A377" s="2" t="s">
        <v>110</v>
      </c>
      <c r="B377" s="2" t="s">
        <v>34</v>
      </c>
      <c r="C377" s="3">
        <v>43399</v>
      </c>
      <c r="D377" s="2">
        <v>22</v>
      </c>
      <c r="E377" s="2" t="s">
        <v>33</v>
      </c>
      <c r="F377" s="2" t="s">
        <v>10</v>
      </c>
      <c r="G377" s="2" t="s">
        <v>11</v>
      </c>
      <c r="H377" s="4">
        <v>28</v>
      </c>
      <c r="I37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78" spans="1:9">
      <c r="A378" s="2" t="s">
        <v>109</v>
      </c>
      <c r="B378" s="2" t="s">
        <v>34</v>
      </c>
      <c r="C378" s="3">
        <v>43401</v>
      </c>
      <c r="D378" s="2">
        <v>21</v>
      </c>
      <c r="E378" s="2" t="s">
        <v>33</v>
      </c>
      <c r="F378" s="2" t="s">
        <v>30</v>
      </c>
      <c r="G378" s="2" t="s">
        <v>25</v>
      </c>
      <c r="H378" s="4">
        <v>36</v>
      </c>
      <c r="I37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79" spans="1:9">
      <c r="A379" s="2" t="s">
        <v>107</v>
      </c>
      <c r="B379" s="2" t="s">
        <v>32</v>
      </c>
      <c r="C379" s="3">
        <v>43402</v>
      </c>
      <c r="D379" s="2">
        <v>19</v>
      </c>
      <c r="E379" s="2" t="s">
        <v>33</v>
      </c>
      <c r="F379" s="2" t="s">
        <v>20</v>
      </c>
      <c r="G379" s="2" t="s">
        <v>21</v>
      </c>
      <c r="H379" s="4">
        <v>39</v>
      </c>
      <c r="I37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0" spans="1:9">
      <c r="A380" s="2" t="s">
        <v>108</v>
      </c>
      <c r="B380" s="2" t="s">
        <v>32</v>
      </c>
      <c r="C380" s="3">
        <v>43402</v>
      </c>
      <c r="D380" s="2">
        <v>20</v>
      </c>
      <c r="E380" s="2" t="s">
        <v>33</v>
      </c>
      <c r="F380" s="2" t="s">
        <v>24</v>
      </c>
      <c r="G380" s="2" t="s">
        <v>23</v>
      </c>
      <c r="H380" s="4">
        <v>25</v>
      </c>
      <c r="I38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81" spans="1:9">
      <c r="A381" s="2" t="s">
        <v>106</v>
      </c>
      <c r="B381" s="2" t="s">
        <v>32</v>
      </c>
      <c r="C381" s="3">
        <v>43405</v>
      </c>
      <c r="D381" s="2">
        <v>18</v>
      </c>
      <c r="E381" s="2" t="s">
        <v>9</v>
      </c>
      <c r="F381" s="2" t="s">
        <v>18</v>
      </c>
      <c r="G381" s="2" t="s">
        <v>19</v>
      </c>
      <c r="H381" s="4">
        <v>38</v>
      </c>
      <c r="I38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2" spans="1:9">
      <c r="A382" s="2" t="s">
        <v>105</v>
      </c>
      <c r="B382" s="2" t="s">
        <v>31</v>
      </c>
      <c r="C382" s="3">
        <v>43406</v>
      </c>
      <c r="D382" s="2">
        <v>17</v>
      </c>
      <c r="E382" s="2" t="s">
        <v>9</v>
      </c>
      <c r="F382" s="2" t="s">
        <v>15</v>
      </c>
      <c r="G382" s="2" t="s">
        <v>16</v>
      </c>
      <c r="H382" s="4">
        <v>23</v>
      </c>
      <c r="I38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83" spans="1:9">
      <c r="A383" s="2" t="s">
        <v>104</v>
      </c>
      <c r="B383" s="2" t="s">
        <v>31</v>
      </c>
      <c r="C383" s="3">
        <v>43414</v>
      </c>
      <c r="D383" s="2">
        <v>16</v>
      </c>
      <c r="E383" s="2" t="s">
        <v>9</v>
      </c>
      <c r="F383" s="2" t="s">
        <v>13</v>
      </c>
      <c r="G383" s="2" t="s">
        <v>14</v>
      </c>
      <c r="H383" s="4">
        <v>34</v>
      </c>
      <c r="I38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84" spans="1:9">
      <c r="A384" s="2" t="s">
        <v>103</v>
      </c>
      <c r="B384" s="2" t="s">
        <v>29</v>
      </c>
      <c r="C384" s="3">
        <v>43417</v>
      </c>
      <c r="D384" s="2">
        <v>15</v>
      </c>
      <c r="E384" s="2" t="s">
        <v>9</v>
      </c>
      <c r="F384" s="2" t="s">
        <v>10</v>
      </c>
      <c r="G384" s="2" t="s">
        <v>11</v>
      </c>
      <c r="H384" s="4">
        <v>32</v>
      </c>
      <c r="I38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385" spans="1:9">
      <c r="A385" s="2" t="s">
        <v>102</v>
      </c>
      <c r="B385" s="2" t="s">
        <v>29</v>
      </c>
      <c r="C385" s="3">
        <v>43420</v>
      </c>
      <c r="D385" s="2">
        <v>14</v>
      </c>
      <c r="E385" s="2" t="s">
        <v>9</v>
      </c>
      <c r="F385" s="2" t="s">
        <v>30</v>
      </c>
      <c r="G385" s="2" t="s">
        <v>25</v>
      </c>
      <c r="H385" s="4">
        <v>33</v>
      </c>
      <c r="I38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6" spans="1:9">
      <c r="A386" s="2" t="s">
        <v>101</v>
      </c>
      <c r="B386" s="2" t="s">
        <v>28</v>
      </c>
      <c r="C386" s="3">
        <v>43423</v>
      </c>
      <c r="D386" s="2">
        <v>13</v>
      </c>
      <c r="E386" s="2" t="s">
        <v>9</v>
      </c>
      <c r="F386" s="2" t="s">
        <v>24</v>
      </c>
      <c r="G386" s="2" t="s">
        <v>23</v>
      </c>
      <c r="H386" s="4">
        <v>11</v>
      </c>
      <c r="I38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87" spans="1:9">
      <c r="A387" s="2" t="s">
        <v>100</v>
      </c>
      <c r="B387" s="2" t="s">
        <v>28</v>
      </c>
      <c r="C387" s="3">
        <v>43424</v>
      </c>
      <c r="D387" s="2">
        <v>12</v>
      </c>
      <c r="E387" s="2" t="s">
        <v>9</v>
      </c>
      <c r="F387" s="2" t="s">
        <v>20</v>
      </c>
      <c r="G387" s="2" t="s">
        <v>21</v>
      </c>
      <c r="H387" s="4">
        <v>17</v>
      </c>
      <c r="I38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8" spans="1:9">
      <c r="A388" s="2" t="s">
        <v>99</v>
      </c>
      <c r="B388" s="2" t="s">
        <v>27</v>
      </c>
      <c r="C388" s="3">
        <v>43432</v>
      </c>
      <c r="D388" s="2">
        <v>11</v>
      </c>
      <c r="E388" s="2" t="s">
        <v>9</v>
      </c>
      <c r="F388" s="2" t="s">
        <v>18</v>
      </c>
      <c r="G388" s="2" t="s">
        <v>19</v>
      </c>
      <c r="H388" s="4">
        <v>24</v>
      </c>
      <c r="I38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89" spans="1:9">
      <c r="A389" s="2" t="s">
        <v>250</v>
      </c>
      <c r="B389" s="2" t="s">
        <v>27</v>
      </c>
      <c r="C389" s="3">
        <v>43432</v>
      </c>
      <c r="D389" s="2">
        <v>150</v>
      </c>
      <c r="E389" s="2" t="s">
        <v>9</v>
      </c>
      <c r="F389" s="2" t="s">
        <v>18</v>
      </c>
      <c r="G389" s="2" t="s">
        <v>19</v>
      </c>
      <c r="H389" s="4">
        <v>24</v>
      </c>
      <c r="I38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0" spans="1:9">
      <c r="A390" s="2" t="s">
        <v>272</v>
      </c>
      <c r="B390" s="2" t="s">
        <v>27</v>
      </c>
      <c r="C390" s="3">
        <v>43432</v>
      </c>
      <c r="D390" s="2">
        <v>165</v>
      </c>
      <c r="E390" s="2" t="s">
        <v>9</v>
      </c>
      <c r="F390" s="2" t="s">
        <v>18</v>
      </c>
      <c r="G390" s="2" t="s">
        <v>19</v>
      </c>
      <c r="H390" s="4">
        <v>24</v>
      </c>
      <c r="I39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1" spans="1:9">
      <c r="A391" s="2" t="s">
        <v>287</v>
      </c>
      <c r="B391" s="2" t="s">
        <v>27</v>
      </c>
      <c r="C391" s="3">
        <v>43432</v>
      </c>
      <c r="D391" s="2">
        <v>180</v>
      </c>
      <c r="E391" s="2" t="s">
        <v>9</v>
      </c>
      <c r="F391" s="2" t="s">
        <v>18</v>
      </c>
      <c r="G391" s="2" t="s">
        <v>19</v>
      </c>
      <c r="H391" s="4">
        <v>24</v>
      </c>
      <c r="I39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2" spans="1:9">
      <c r="A392" s="2" t="s">
        <v>302</v>
      </c>
      <c r="B392" s="2" t="s">
        <v>27</v>
      </c>
      <c r="C392" s="3">
        <v>43432</v>
      </c>
      <c r="D392" s="2">
        <v>195</v>
      </c>
      <c r="E392" s="2" t="s">
        <v>9</v>
      </c>
      <c r="F392" s="2" t="s">
        <v>18</v>
      </c>
      <c r="G392" s="2" t="s">
        <v>19</v>
      </c>
      <c r="H392" s="4">
        <v>24</v>
      </c>
      <c r="I39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3" spans="1:9">
      <c r="A393" s="2" t="s">
        <v>317</v>
      </c>
      <c r="B393" s="2" t="s">
        <v>27</v>
      </c>
      <c r="C393" s="3">
        <v>43432</v>
      </c>
      <c r="D393" s="2">
        <v>210</v>
      </c>
      <c r="E393" s="2" t="s">
        <v>9</v>
      </c>
      <c r="F393" s="2" t="s">
        <v>18</v>
      </c>
      <c r="G393" s="2" t="s">
        <v>19</v>
      </c>
      <c r="H393" s="4">
        <v>24</v>
      </c>
      <c r="I39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4" spans="1:9">
      <c r="A394" s="2" t="s">
        <v>332</v>
      </c>
      <c r="B394" s="2" t="s">
        <v>27</v>
      </c>
      <c r="C394" s="3">
        <v>43432</v>
      </c>
      <c r="D394" s="2">
        <v>225</v>
      </c>
      <c r="E394" s="2" t="s">
        <v>9</v>
      </c>
      <c r="F394" s="2" t="s">
        <v>18</v>
      </c>
      <c r="G394" s="2" t="s">
        <v>19</v>
      </c>
      <c r="H394" s="4">
        <v>24</v>
      </c>
      <c r="I39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395" spans="1:9">
      <c r="A395" s="2" t="s">
        <v>98</v>
      </c>
      <c r="B395" s="2" t="s">
        <v>27</v>
      </c>
      <c r="C395" s="3">
        <v>43433</v>
      </c>
      <c r="D395" s="2">
        <v>10</v>
      </c>
      <c r="E395" s="2" t="s">
        <v>9</v>
      </c>
      <c r="F395" s="2" t="s">
        <v>15</v>
      </c>
      <c r="G395" s="2" t="s">
        <v>16</v>
      </c>
      <c r="H395" s="4">
        <v>24</v>
      </c>
      <c r="I39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96" spans="1:9">
      <c r="A396" s="2" t="s">
        <v>249</v>
      </c>
      <c r="B396" s="2" t="s">
        <v>27</v>
      </c>
      <c r="C396" s="3">
        <v>43433</v>
      </c>
      <c r="D396" s="2">
        <v>149</v>
      </c>
      <c r="E396" s="2" t="s">
        <v>9</v>
      </c>
      <c r="F396" s="2" t="s">
        <v>15</v>
      </c>
      <c r="G396" s="2" t="s">
        <v>16</v>
      </c>
      <c r="H396" s="4">
        <v>24</v>
      </c>
      <c r="I39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97" spans="1:9">
      <c r="A397" s="2" t="s">
        <v>271</v>
      </c>
      <c r="B397" s="2" t="s">
        <v>27</v>
      </c>
      <c r="C397" s="3">
        <v>43433</v>
      </c>
      <c r="D397" s="2">
        <v>164</v>
      </c>
      <c r="E397" s="2" t="s">
        <v>9</v>
      </c>
      <c r="F397" s="2" t="s">
        <v>15</v>
      </c>
      <c r="G397" s="2" t="s">
        <v>16</v>
      </c>
      <c r="H397" s="4">
        <v>24</v>
      </c>
      <c r="I39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98" spans="1:9">
      <c r="A398" s="2" t="s">
        <v>286</v>
      </c>
      <c r="B398" s="2" t="s">
        <v>27</v>
      </c>
      <c r="C398" s="3">
        <v>43433</v>
      </c>
      <c r="D398" s="2">
        <v>179</v>
      </c>
      <c r="E398" s="2" t="s">
        <v>9</v>
      </c>
      <c r="F398" s="2" t="s">
        <v>15</v>
      </c>
      <c r="G398" s="2" t="s">
        <v>16</v>
      </c>
      <c r="H398" s="4">
        <v>24</v>
      </c>
      <c r="I39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399" spans="1:9">
      <c r="A399" s="2" t="s">
        <v>301</v>
      </c>
      <c r="B399" s="2" t="s">
        <v>27</v>
      </c>
      <c r="C399" s="3">
        <v>43433</v>
      </c>
      <c r="D399" s="2">
        <v>194</v>
      </c>
      <c r="E399" s="2" t="s">
        <v>9</v>
      </c>
      <c r="F399" s="2" t="s">
        <v>15</v>
      </c>
      <c r="G399" s="2" t="s">
        <v>16</v>
      </c>
      <c r="H399" s="4">
        <v>24</v>
      </c>
      <c r="I39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00" spans="1:9">
      <c r="A400" s="2" t="s">
        <v>316</v>
      </c>
      <c r="B400" s="2" t="s">
        <v>27</v>
      </c>
      <c r="C400" s="3">
        <v>43433</v>
      </c>
      <c r="D400" s="2">
        <v>209</v>
      </c>
      <c r="E400" s="2" t="s">
        <v>9</v>
      </c>
      <c r="F400" s="2" t="s">
        <v>15</v>
      </c>
      <c r="G400" s="2" t="s">
        <v>16</v>
      </c>
      <c r="H400" s="4">
        <v>24</v>
      </c>
      <c r="I40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01" spans="1:9">
      <c r="A401" s="2" t="s">
        <v>331</v>
      </c>
      <c r="B401" s="2" t="s">
        <v>27</v>
      </c>
      <c r="C401" s="3">
        <v>43433</v>
      </c>
      <c r="D401" s="2">
        <v>224</v>
      </c>
      <c r="E401" s="2" t="s">
        <v>9</v>
      </c>
      <c r="F401" s="2" t="s">
        <v>15</v>
      </c>
      <c r="G401" s="2" t="s">
        <v>16</v>
      </c>
      <c r="H401" s="4">
        <v>24</v>
      </c>
      <c r="I40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02" spans="1:9">
      <c r="A402" s="2" t="s">
        <v>340</v>
      </c>
      <c r="B402" s="2" t="s">
        <v>8</v>
      </c>
      <c r="C402" s="3">
        <v>43434</v>
      </c>
      <c r="D402" s="5">
        <v>233</v>
      </c>
      <c r="E402" s="2" t="s">
        <v>9</v>
      </c>
      <c r="F402" s="2" t="s">
        <v>13</v>
      </c>
      <c r="G402" s="2" t="s">
        <v>14</v>
      </c>
      <c r="H402" s="4">
        <v>30</v>
      </c>
      <c r="I40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3" spans="1:9">
      <c r="A403" s="2" t="s">
        <v>97</v>
      </c>
      <c r="B403" s="2" t="s">
        <v>26</v>
      </c>
      <c r="C403" s="3">
        <v>43434</v>
      </c>
      <c r="D403" s="2">
        <v>9</v>
      </c>
      <c r="E403" s="2" t="s">
        <v>9</v>
      </c>
      <c r="F403" s="2" t="s">
        <v>13</v>
      </c>
      <c r="G403" s="2" t="s">
        <v>14</v>
      </c>
      <c r="H403" s="4">
        <v>30</v>
      </c>
      <c r="I40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4" spans="1:9">
      <c r="A404" s="2" t="s">
        <v>248</v>
      </c>
      <c r="B404" s="2" t="s">
        <v>26</v>
      </c>
      <c r="C404" s="3">
        <v>43434</v>
      </c>
      <c r="D404" s="2">
        <v>148</v>
      </c>
      <c r="E404" s="2" t="s">
        <v>9</v>
      </c>
      <c r="F404" s="2" t="s">
        <v>13</v>
      </c>
      <c r="G404" s="2" t="s">
        <v>14</v>
      </c>
      <c r="H404" s="4">
        <v>30</v>
      </c>
      <c r="I40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5" spans="1:9">
      <c r="A405" s="2" t="s">
        <v>251</v>
      </c>
      <c r="B405" s="2" t="s">
        <v>8</v>
      </c>
      <c r="C405" s="3">
        <v>43434</v>
      </c>
      <c r="D405" s="2">
        <v>151</v>
      </c>
      <c r="E405" s="2" t="s">
        <v>9</v>
      </c>
      <c r="F405" s="2" t="s">
        <v>13</v>
      </c>
      <c r="G405" s="2" t="s">
        <v>14</v>
      </c>
      <c r="H405" s="4">
        <v>30</v>
      </c>
      <c r="I40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6" spans="1:9">
      <c r="A406" s="2" t="s">
        <v>252</v>
      </c>
      <c r="B406" s="2" t="s">
        <v>12</v>
      </c>
      <c r="C406" s="3">
        <v>43434</v>
      </c>
      <c r="D406" s="2">
        <v>152</v>
      </c>
      <c r="E406" s="2" t="s">
        <v>9</v>
      </c>
      <c r="F406" s="2" t="s">
        <v>13</v>
      </c>
      <c r="G406" s="2" t="s">
        <v>14</v>
      </c>
      <c r="H406" s="4">
        <v>30</v>
      </c>
      <c r="I40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7" spans="1:9">
      <c r="A407" s="2" t="s">
        <v>253</v>
      </c>
      <c r="B407" s="2" t="s">
        <v>12</v>
      </c>
      <c r="C407" s="3">
        <v>43434</v>
      </c>
      <c r="D407" s="2">
        <v>153</v>
      </c>
      <c r="E407" s="2" t="s">
        <v>9</v>
      </c>
      <c r="F407" s="2" t="s">
        <v>13</v>
      </c>
      <c r="G407" s="2" t="s">
        <v>14</v>
      </c>
      <c r="H407" s="4">
        <v>30</v>
      </c>
      <c r="I40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8" spans="1:9">
      <c r="A408" s="2" t="s">
        <v>254</v>
      </c>
      <c r="B408" s="2" t="s">
        <v>17</v>
      </c>
      <c r="C408" s="3">
        <v>43434</v>
      </c>
      <c r="D408" s="2">
        <v>154</v>
      </c>
      <c r="E408" s="2" t="s">
        <v>9</v>
      </c>
      <c r="F408" s="2" t="s">
        <v>13</v>
      </c>
      <c r="G408" s="2" t="s">
        <v>14</v>
      </c>
      <c r="H408" s="4">
        <v>30</v>
      </c>
      <c r="I40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09" spans="1:9">
      <c r="A409" s="2" t="s">
        <v>255</v>
      </c>
      <c r="B409" s="2" t="s">
        <v>17</v>
      </c>
      <c r="C409" s="3">
        <v>43434</v>
      </c>
      <c r="D409" s="2">
        <v>155</v>
      </c>
      <c r="E409" s="2" t="s">
        <v>9</v>
      </c>
      <c r="F409" s="2" t="s">
        <v>13</v>
      </c>
      <c r="G409" s="2" t="s">
        <v>14</v>
      </c>
      <c r="H409" s="4">
        <v>30</v>
      </c>
      <c r="I40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0" spans="1:9">
      <c r="A410" s="2" t="s">
        <v>256</v>
      </c>
      <c r="B410" s="2" t="s">
        <v>22</v>
      </c>
      <c r="C410" s="3">
        <v>43434</v>
      </c>
      <c r="D410" s="2">
        <v>156</v>
      </c>
      <c r="E410" s="2" t="s">
        <v>9</v>
      </c>
      <c r="F410" s="2" t="s">
        <v>13</v>
      </c>
      <c r="G410" s="2" t="s">
        <v>14</v>
      </c>
      <c r="H410" s="4">
        <v>30</v>
      </c>
      <c r="I41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1" spans="1:9">
      <c r="A411" s="2" t="s">
        <v>257</v>
      </c>
      <c r="B411" s="2" t="s">
        <v>22</v>
      </c>
      <c r="C411" s="3">
        <v>43434</v>
      </c>
      <c r="D411" s="2">
        <v>157</v>
      </c>
      <c r="E411" s="2" t="s">
        <v>9</v>
      </c>
      <c r="F411" s="2" t="s">
        <v>13</v>
      </c>
      <c r="G411" s="2" t="s">
        <v>14</v>
      </c>
      <c r="H411" s="4">
        <v>30</v>
      </c>
      <c r="I41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2" spans="1:9">
      <c r="A412" s="2" t="s">
        <v>258</v>
      </c>
      <c r="B412" s="2" t="s">
        <v>8</v>
      </c>
      <c r="C412" s="3">
        <v>43434</v>
      </c>
      <c r="D412" s="2">
        <v>158</v>
      </c>
      <c r="E412" s="2" t="s">
        <v>9</v>
      </c>
      <c r="F412" s="2" t="s">
        <v>13</v>
      </c>
      <c r="G412" s="2" t="s">
        <v>14</v>
      </c>
      <c r="H412" s="4">
        <v>30</v>
      </c>
      <c r="I41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3" spans="1:9">
      <c r="A413" s="2" t="s">
        <v>264</v>
      </c>
      <c r="B413" s="2" t="s">
        <v>265</v>
      </c>
      <c r="C413" s="3">
        <v>43434</v>
      </c>
      <c r="D413" s="2">
        <v>158</v>
      </c>
      <c r="E413" s="2" t="s">
        <v>9</v>
      </c>
      <c r="F413" s="2" t="s">
        <v>13</v>
      </c>
      <c r="G413" s="2" t="s">
        <v>14</v>
      </c>
      <c r="H413" s="4">
        <v>26</v>
      </c>
      <c r="I41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4" spans="1:9">
      <c r="A414" s="2" t="s">
        <v>270</v>
      </c>
      <c r="B414" s="2" t="s">
        <v>26</v>
      </c>
      <c r="C414" s="3">
        <v>43434</v>
      </c>
      <c r="D414" s="2">
        <v>163</v>
      </c>
      <c r="E414" s="2" t="s">
        <v>9</v>
      </c>
      <c r="F414" s="2" t="s">
        <v>13</v>
      </c>
      <c r="G414" s="2" t="s">
        <v>14</v>
      </c>
      <c r="H414" s="4">
        <v>30</v>
      </c>
      <c r="I4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5" spans="1:9">
      <c r="A415" s="2" t="s">
        <v>273</v>
      </c>
      <c r="B415" s="2" t="s">
        <v>8</v>
      </c>
      <c r="C415" s="3">
        <v>43434</v>
      </c>
      <c r="D415" s="2">
        <v>166</v>
      </c>
      <c r="E415" s="2" t="s">
        <v>9</v>
      </c>
      <c r="F415" s="2" t="s">
        <v>13</v>
      </c>
      <c r="G415" s="2" t="s">
        <v>14</v>
      </c>
      <c r="H415" s="4">
        <v>30</v>
      </c>
      <c r="I41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6" spans="1:9">
      <c r="A416" s="2" t="s">
        <v>274</v>
      </c>
      <c r="B416" s="2" t="s">
        <v>12</v>
      </c>
      <c r="C416" s="3">
        <v>43434</v>
      </c>
      <c r="D416" s="2">
        <v>167</v>
      </c>
      <c r="E416" s="2" t="s">
        <v>9</v>
      </c>
      <c r="F416" s="2" t="s">
        <v>13</v>
      </c>
      <c r="G416" s="2" t="s">
        <v>14</v>
      </c>
      <c r="H416" s="4">
        <v>30</v>
      </c>
      <c r="I41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7" spans="1:9">
      <c r="A417" s="2" t="s">
        <v>275</v>
      </c>
      <c r="B417" s="2" t="s">
        <v>12</v>
      </c>
      <c r="C417" s="3">
        <v>43434</v>
      </c>
      <c r="D417" s="2">
        <v>168</v>
      </c>
      <c r="E417" s="2" t="s">
        <v>9</v>
      </c>
      <c r="F417" s="2" t="s">
        <v>13</v>
      </c>
      <c r="G417" s="2" t="s">
        <v>14</v>
      </c>
      <c r="H417" s="4">
        <v>30</v>
      </c>
      <c r="I41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8" spans="1:9">
      <c r="A418" s="2" t="s">
        <v>276</v>
      </c>
      <c r="B418" s="2" t="s">
        <v>17</v>
      </c>
      <c r="C418" s="3">
        <v>43434</v>
      </c>
      <c r="D418" s="2">
        <v>169</v>
      </c>
      <c r="E418" s="2" t="s">
        <v>9</v>
      </c>
      <c r="F418" s="2" t="s">
        <v>13</v>
      </c>
      <c r="G418" s="2" t="s">
        <v>14</v>
      </c>
      <c r="H418" s="4">
        <v>30</v>
      </c>
      <c r="I41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19" spans="1:9">
      <c r="A419" s="2" t="s">
        <v>277</v>
      </c>
      <c r="B419" s="2" t="s">
        <v>17</v>
      </c>
      <c r="C419" s="3">
        <v>43434</v>
      </c>
      <c r="D419" s="2">
        <v>170</v>
      </c>
      <c r="E419" s="2" t="s">
        <v>9</v>
      </c>
      <c r="F419" s="2" t="s">
        <v>13</v>
      </c>
      <c r="G419" s="2" t="s">
        <v>14</v>
      </c>
      <c r="H419" s="4">
        <v>30</v>
      </c>
      <c r="I41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0" spans="1:9">
      <c r="A420" s="2" t="s">
        <v>278</v>
      </c>
      <c r="B420" s="2" t="s">
        <v>22</v>
      </c>
      <c r="C420" s="3">
        <v>43434</v>
      </c>
      <c r="D420" s="2">
        <v>171</v>
      </c>
      <c r="E420" s="2" t="s">
        <v>9</v>
      </c>
      <c r="F420" s="2" t="s">
        <v>13</v>
      </c>
      <c r="G420" s="2" t="s">
        <v>14</v>
      </c>
      <c r="H420" s="4">
        <v>30</v>
      </c>
      <c r="I42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1" spans="1:9">
      <c r="A421" s="2" t="s">
        <v>279</v>
      </c>
      <c r="B421" s="2" t="s">
        <v>22</v>
      </c>
      <c r="C421" s="3">
        <v>43434</v>
      </c>
      <c r="D421" s="2">
        <v>172</v>
      </c>
      <c r="E421" s="2" t="s">
        <v>9</v>
      </c>
      <c r="F421" s="2" t="s">
        <v>13</v>
      </c>
      <c r="G421" s="2" t="s">
        <v>14</v>
      </c>
      <c r="H421" s="4">
        <v>30</v>
      </c>
      <c r="I42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2" spans="1:9">
      <c r="A422" s="2" t="s">
        <v>280</v>
      </c>
      <c r="B422" s="2" t="s">
        <v>8</v>
      </c>
      <c r="C422" s="3">
        <v>43434</v>
      </c>
      <c r="D422" s="2">
        <v>173</v>
      </c>
      <c r="E422" s="2" t="s">
        <v>9</v>
      </c>
      <c r="F422" s="2" t="s">
        <v>13</v>
      </c>
      <c r="G422" s="2" t="s">
        <v>14</v>
      </c>
      <c r="H422" s="4">
        <v>30</v>
      </c>
      <c r="I42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3" spans="1:9">
      <c r="A423" s="2" t="s">
        <v>285</v>
      </c>
      <c r="B423" s="2" t="s">
        <v>26</v>
      </c>
      <c r="C423" s="3">
        <v>43434</v>
      </c>
      <c r="D423" s="2">
        <v>178</v>
      </c>
      <c r="E423" s="2" t="s">
        <v>9</v>
      </c>
      <c r="F423" s="2" t="s">
        <v>13</v>
      </c>
      <c r="G423" s="2" t="s">
        <v>14</v>
      </c>
      <c r="H423" s="4">
        <v>30</v>
      </c>
      <c r="I42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4" spans="1:9">
      <c r="A424" s="2" t="s">
        <v>288</v>
      </c>
      <c r="B424" s="2" t="s">
        <v>8</v>
      </c>
      <c r="C424" s="3">
        <v>43434</v>
      </c>
      <c r="D424" s="2">
        <v>181</v>
      </c>
      <c r="E424" s="2" t="s">
        <v>9</v>
      </c>
      <c r="F424" s="2" t="s">
        <v>13</v>
      </c>
      <c r="G424" s="2" t="s">
        <v>14</v>
      </c>
      <c r="H424" s="4">
        <v>30</v>
      </c>
      <c r="I42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5" spans="1:9">
      <c r="A425" s="2" t="s">
        <v>289</v>
      </c>
      <c r="B425" s="2" t="s">
        <v>12</v>
      </c>
      <c r="C425" s="3">
        <v>43434</v>
      </c>
      <c r="D425" s="2">
        <v>182</v>
      </c>
      <c r="E425" s="2" t="s">
        <v>9</v>
      </c>
      <c r="F425" s="2" t="s">
        <v>13</v>
      </c>
      <c r="G425" s="2" t="s">
        <v>14</v>
      </c>
      <c r="H425" s="4">
        <v>30</v>
      </c>
      <c r="I42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6" spans="1:9">
      <c r="A426" s="2" t="s">
        <v>290</v>
      </c>
      <c r="B426" s="2" t="s">
        <v>12</v>
      </c>
      <c r="C426" s="3">
        <v>43434</v>
      </c>
      <c r="D426" s="2">
        <v>183</v>
      </c>
      <c r="E426" s="2" t="s">
        <v>9</v>
      </c>
      <c r="F426" s="2" t="s">
        <v>13</v>
      </c>
      <c r="G426" s="2" t="s">
        <v>14</v>
      </c>
      <c r="H426" s="4">
        <v>30</v>
      </c>
      <c r="I42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7" spans="1:9">
      <c r="A427" s="2" t="s">
        <v>291</v>
      </c>
      <c r="B427" s="2" t="s">
        <v>17</v>
      </c>
      <c r="C427" s="3">
        <v>43434</v>
      </c>
      <c r="D427" s="2">
        <v>184</v>
      </c>
      <c r="E427" s="2" t="s">
        <v>9</v>
      </c>
      <c r="F427" s="2" t="s">
        <v>13</v>
      </c>
      <c r="G427" s="2" t="s">
        <v>14</v>
      </c>
      <c r="H427" s="4">
        <v>30</v>
      </c>
      <c r="I4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8" spans="1:9">
      <c r="A428" s="2" t="s">
        <v>292</v>
      </c>
      <c r="B428" s="2" t="s">
        <v>17</v>
      </c>
      <c r="C428" s="3">
        <v>43434</v>
      </c>
      <c r="D428" s="2">
        <v>185</v>
      </c>
      <c r="E428" s="2" t="s">
        <v>9</v>
      </c>
      <c r="F428" s="2" t="s">
        <v>13</v>
      </c>
      <c r="G428" s="2" t="s">
        <v>14</v>
      </c>
      <c r="H428" s="4">
        <v>30</v>
      </c>
      <c r="I42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29" spans="1:9">
      <c r="A429" s="2" t="s">
        <v>293</v>
      </c>
      <c r="B429" s="2" t="s">
        <v>22</v>
      </c>
      <c r="C429" s="3">
        <v>43434</v>
      </c>
      <c r="D429" s="2">
        <v>186</v>
      </c>
      <c r="E429" s="2" t="s">
        <v>9</v>
      </c>
      <c r="F429" s="2" t="s">
        <v>13</v>
      </c>
      <c r="G429" s="2" t="s">
        <v>14</v>
      </c>
      <c r="H429" s="4">
        <v>30</v>
      </c>
      <c r="I42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0" spans="1:9">
      <c r="A430" s="2" t="s">
        <v>294</v>
      </c>
      <c r="B430" s="2" t="s">
        <v>22</v>
      </c>
      <c r="C430" s="3">
        <v>43434</v>
      </c>
      <c r="D430" s="2">
        <v>187</v>
      </c>
      <c r="E430" s="2" t="s">
        <v>9</v>
      </c>
      <c r="F430" s="2" t="s">
        <v>13</v>
      </c>
      <c r="G430" s="2" t="s">
        <v>14</v>
      </c>
      <c r="H430" s="4">
        <v>30</v>
      </c>
      <c r="I43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1" spans="1:9">
      <c r="A431" s="2" t="s">
        <v>295</v>
      </c>
      <c r="B431" s="2" t="s">
        <v>8</v>
      </c>
      <c r="C431" s="3">
        <v>43434</v>
      </c>
      <c r="D431" s="2">
        <v>188</v>
      </c>
      <c r="E431" s="2" t="s">
        <v>9</v>
      </c>
      <c r="F431" s="2" t="s">
        <v>13</v>
      </c>
      <c r="G431" s="2" t="s">
        <v>14</v>
      </c>
      <c r="H431" s="4">
        <v>30</v>
      </c>
      <c r="I43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2" spans="1:9">
      <c r="A432" s="2" t="s">
        <v>300</v>
      </c>
      <c r="B432" s="2" t="s">
        <v>26</v>
      </c>
      <c r="C432" s="3">
        <v>43434</v>
      </c>
      <c r="D432" s="2">
        <v>193</v>
      </c>
      <c r="E432" s="2" t="s">
        <v>9</v>
      </c>
      <c r="F432" s="2" t="s">
        <v>13</v>
      </c>
      <c r="G432" s="2" t="s">
        <v>14</v>
      </c>
      <c r="H432" s="4">
        <v>30</v>
      </c>
      <c r="I43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3" spans="1:9">
      <c r="A433" s="2" t="s">
        <v>303</v>
      </c>
      <c r="B433" s="2" t="s">
        <v>8</v>
      </c>
      <c r="C433" s="3">
        <v>43434</v>
      </c>
      <c r="D433" s="2">
        <v>196</v>
      </c>
      <c r="E433" s="2" t="s">
        <v>9</v>
      </c>
      <c r="F433" s="2" t="s">
        <v>13</v>
      </c>
      <c r="G433" s="2" t="s">
        <v>14</v>
      </c>
      <c r="H433" s="4">
        <v>30</v>
      </c>
      <c r="I4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4" spans="1:9">
      <c r="A434" s="2" t="s">
        <v>304</v>
      </c>
      <c r="B434" s="2" t="s">
        <v>12</v>
      </c>
      <c r="C434" s="3">
        <v>43434</v>
      </c>
      <c r="D434" s="2">
        <v>197</v>
      </c>
      <c r="E434" s="2" t="s">
        <v>9</v>
      </c>
      <c r="F434" s="2" t="s">
        <v>13</v>
      </c>
      <c r="G434" s="2" t="s">
        <v>14</v>
      </c>
      <c r="H434" s="4">
        <v>30</v>
      </c>
      <c r="I4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5" spans="1:9">
      <c r="A435" s="2" t="s">
        <v>305</v>
      </c>
      <c r="B435" s="2" t="s">
        <v>12</v>
      </c>
      <c r="C435" s="3">
        <v>43434</v>
      </c>
      <c r="D435" s="2">
        <v>198</v>
      </c>
      <c r="E435" s="2" t="s">
        <v>9</v>
      </c>
      <c r="F435" s="2" t="s">
        <v>13</v>
      </c>
      <c r="G435" s="2" t="s">
        <v>14</v>
      </c>
      <c r="H435" s="4">
        <v>30</v>
      </c>
      <c r="I43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6" spans="1:9">
      <c r="A436" s="2" t="s">
        <v>306</v>
      </c>
      <c r="B436" s="2" t="s">
        <v>17</v>
      </c>
      <c r="C436" s="3">
        <v>43434</v>
      </c>
      <c r="D436" s="2">
        <v>199</v>
      </c>
      <c r="E436" s="2" t="s">
        <v>9</v>
      </c>
      <c r="F436" s="2" t="s">
        <v>13</v>
      </c>
      <c r="G436" s="2" t="s">
        <v>14</v>
      </c>
      <c r="H436" s="4">
        <v>30</v>
      </c>
      <c r="I43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7" spans="1:9">
      <c r="A437" s="2" t="s">
        <v>307</v>
      </c>
      <c r="B437" s="2" t="s">
        <v>17</v>
      </c>
      <c r="C437" s="3">
        <v>43434</v>
      </c>
      <c r="D437" s="2">
        <v>200</v>
      </c>
      <c r="E437" s="2" t="s">
        <v>9</v>
      </c>
      <c r="F437" s="2" t="s">
        <v>13</v>
      </c>
      <c r="G437" s="2" t="s">
        <v>14</v>
      </c>
      <c r="H437" s="4">
        <v>30</v>
      </c>
      <c r="I43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8" spans="1:9">
      <c r="A438" s="2" t="s">
        <v>308</v>
      </c>
      <c r="B438" s="2" t="s">
        <v>22</v>
      </c>
      <c r="C438" s="3">
        <v>43434</v>
      </c>
      <c r="D438" s="2">
        <v>201</v>
      </c>
      <c r="E438" s="2" t="s">
        <v>9</v>
      </c>
      <c r="F438" s="2" t="s">
        <v>13</v>
      </c>
      <c r="G438" s="2" t="s">
        <v>14</v>
      </c>
      <c r="H438" s="4">
        <v>30</v>
      </c>
      <c r="I43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39" spans="1:9">
      <c r="A439" s="2" t="s">
        <v>309</v>
      </c>
      <c r="B439" s="2" t="s">
        <v>22</v>
      </c>
      <c r="C439" s="3">
        <v>43434</v>
      </c>
      <c r="D439" s="2">
        <v>202</v>
      </c>
      <c r="E439" s="2" t="s">
        <v>9</v>
      </c>
      <c r="F439" s="2" t="s">
        <v>13</v>
      </c>
      <c r="G439" s="2" t="s">
        <v>14</v>
      </c>
      <c r="H439" s="4">
        <v>30</v>
      </c>
      <c r="I43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0" spans="1:9">
      <c r="A440" s="2" t="s">
        <v>310</v>
      </c>
      <c r="B440" s="2" t="s">
        <v>8</v>
      </c>
      <c r="C440" s="3">
        <v>43434</v>
      </c>
      <c r="D440" s="2">
        <v>203</v>
      </c>
      <c r="E440" s="2" t="s">
        <v>9</v>
      </c>
      <c r="F440" s="2" t="s">
        <v>13</v>
      </c>
      <c r="G440" s="2" t="s">
        <v>14</v>
      </c>
      <c r="H440" s="4">
        <v>30</v>
      </c>
      <c r="I44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1" spans="1:9">
      <c r="A441" s="2" t="s">
        <v>315</v>
      </c>
      <c r="B441" s="2" t="s">
        <v>26</v>
      </c>
      <c r="C441" s="3">
        <v>43434</v>
      </c>
      <c r="D441" s="2">
        <v>208</v>
      </c>
      <c r="E441" s="2" t="s">
        <v>9</v>
      </c>
      <c r="F441" s="2" t="s">
        <v>13</v>
      </c>
      <c r="G441" s="2" t="s">
        <v>14</v>
      </c>
      <c r="H441" s="4">
        <v>30</v>
      </c>
      <c r="I44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2" spans="1:9">
      <c r="A442" s="2" t="s">
        <v>318</v>
      </c>
      <c r="B442" s="2" t="s">
        <v>8</v>
      </c>
      <c r="C442" s="3">
        <v>43434</v>
      </c>
      <c r="D442" s="2">
        <v>211</v>
      </c>
      <c r="E442" s="2" t="s">
        <v>9</v>
      </c>
      <c r="F442" s="2" t="s">
        <v>13</v>
      </c>
      <c r="G442" s="2" t="s">
        <v>14</v>
      </c>
      <c r="H442" s="4">
        <v>30</v>
      </c>
      <c r="I44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3" spans="1:9">
      <c r="A443" s="2" t="s">
        <v>319</v>
      </c>
      <c r="B443" s="2" t="s">
        <v>12</v>
      </c>
      <c r="C443" s="3">
        <v>43434</v>
      </c>
      <c r="D443" s="2">
        <v>212</v>
      </c>
      <c r="E443" s="2" t="s">
        <v>9</v>
      </c>
      <c r="F443" s="2" t="s">
        <v>13</v>
      </c>
      <c r="G443" s="2" t="s">
        <v>14</v>
      </c>
      <c r="H443" s="4">
        <v>30</v>
      </c>
      <c r="I44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4" spans="1:9">
      <c r="A444" s="2" t="s">
        <v>320</v>
      </c>
      <c r="B444" s="2" t="s">
        <v>12</v>
      </c>
      <c r="C444" s="3">
        <v>43434</v>
      </c>
      <c r="D444" s="2">
        <v>213</v>
      </c>
      <c r="E444" s="2" t="s">
        <v>9</v>
      </c>
      <c r="F444" s="2" t="s">
        <v>13</v>
      </c>
      <c r="G444" s="2" t="s">
        <v>14</v>
      </c>
      <c r="H444" s="4">
        <v>30</v>
      </c>
      <c r="I44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5" spans="1:9">
      <c r="A445" s="2" t="s">
        <v>321</v>
      </c>
      <c r="B445" s="2" t="s">
        <v>17</v>
      </c>
      <c r="C445" s="3">
        <v>43434</v>
      </c>
      <c r="D445" s="2">
        <v>214</v>
      </c>
      <c r="E445" s="2" t="s">
        <v>9</v>
      </c>
      <c r="F445" s="2" t="s">
        <v>13</v>
      </c>
      <c r="G445" s="2" t="s">
        <v>14</v>
      </c>
      <c r="H445" s="4">
        <v>30</v>
      </c>
      <c r="I44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6" spans="1:9">
      <c r="A446" s="2" t="s">
        <v>322</v>
      </c>
      <c r="B446" s="2" t="s">
        <v>17</v>
      </c>
      <c r="C446" s="3">
        <v>43434</v>
      </c>
      <c r="D446" s="2">
        <v>215</v>
      </c>
      <c r="E446" s="2" t="s">
        <v>9</v>
      </c>
      <c r="F446" s="2" t="s">
        <v>13</v>
      </c>
      <c r="G446" s="2" t="s">
        <v>14</v>
      </c>
      <c r="H446" s="4">
        <v>30</v>
      </c>
      <c r="I44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7" spans="1:9">
      <c r="A447" s="2" t="s">
        <v>323</v>
      </c>
      <c r="B447" s="2" t="s">
        <v>22</v>
      </c>
      <c r="C447" s="3">
        <v>43434</v>
      </c>
      <c r="D447" s="2">
        <v>216</v>
      </c>
      <c r="E447" s="2" t="s">
        <v>9</v>
      </c>
      <c r="F447" s="2" t="s">
        <v>13</v>
      </c>
      <c r="G447" s="2" t="s">
        <v>14</v>
      </c>
      <c r="H447" s="4">
        <v>30</v>
      </c>
      <c r="I44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8" spans="1:9">
      <c r="A448" s="2" t="s">
        <v>324</v>
      </c>
      <c r="B448" s="2" t="s">
        <v>22</v>
      </c>
      <c r="C448" s="3">
        <v>43434</v>
      </c>
      <c r="D448" s="2">
        <v>217</v>
      </c>
      <c r="E448" s="2" t="s">
        <v>9</v>
      </c>
      <c r="F448" s="2" t="s">
        <v>13</v>
      </c>
      <c r="G448" s="2" t="s">
        <v>14</v>
      </c>
      <c r="H448" s="4">
        <v>30</v>
      </c>
      <c r="I44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49" spans="1:9">
      <c r="A449" s="2" t="s">
        <v>325</v>
      </c>
      <c r="B449" s="2" t="s">
        <v>8</v>
      </c>
      <c r="C449" s="3">
        <v>43434</v>
      </c>
      <c r="D449" s="2">
        <v>218</v>
      </c>
      <c r="E449" s="2" t="s">
        <v>9</v>
      </c>
      <c r="F449" s="2" t="s">
        <v>13</v>
      </c>
      <c r="G449" s="2" t="s">
        <v>14</v>
      </c>
      <c r="H449" s="4">
        <v>30</v>
      </c>
      <c r="I44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0" spans="1:9">
      <c r="A450" s="2" t="s">
        <v>330</v>
      </c>
      <c r="B450" s="2" t="s">
        <v>26</v>
      </c>
      <c r="C450" s="3">
        <v>43434</v>
      </c>
      <c r="D450" s="2">
        <v>223</v>
      </c>
      <c r="E450" s="2" t="s">
        <v>9</v>
      </c>
      <c r="F450" s="2" t="s">
        <v>13</v>
      </c>
      <c r="G450" s="2" t="s">
        <v>14</v>
      </c>
      <c r="H450" s="4">
        <v>30</v>
      </c>
      <c r="I45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1" spans="1:9">
      <c r="A451" s="2" t="s">
        <v>333</v>
      </c>
      <c r="B451" s="2" t="s">
        <v>8</v>
      </c>
      <c r="C451" s="3">
        <v>43434</v>
      </c>
      <c r="D451" s="2">
        <v>226</v>
      </c>
      <c r="E451" s="2" t="s">
        <v>9</v>
      </c>
      <c r="F451" s="2" t="s">
        <v>13</v>
      </c>
      <c r="G451" s="2" t="s">
        <v>14</v>
      </c>
      <c r="H451" s="4">
        <v>30</v>
      </c>
      <c r="I45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2" spans="1:9">
      <c r="A452" s="2" t="s">
        <v>334</v>
      </c>
      <c r="B452" s="2" t="s">
        <v>12</v>
      </c>
      <c r="C452" s="3">
        <v>43434</v>
      </c>
      <c r="D452" s="2">
        <v>227</v>
      </c>
      <c r="E452" s="2" t="s">
        <v>9</v>
      </c>
      <c r="F452" s="2" t="s">
        <v>13</v>
      </c>
      <c r="G452" s="2" t="s">
        <v>14</v>
      </c>
      <c r="H452" s="4">
        <v>30</v>
      </c>
      <c r="I45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3" spans="1:9">
      <c r="A453" s="2" t="s">
        <v>335</v>
      </c>
      <c r="B453" s="2" t="s">
        <v>12</v>
      </c>
      <c r="C453" s="3">
        <v>43434</v>
      </c>
      <c r="D453" s="2">
        <v>228</v>
      </c>
      <c r="E453" s="2" t="s">
        <v>9</v>
      </c>
      <c r="F453" s="2" t="s">
        <v>13</v>
      </c>
      <c r="G453" s="2" t="s">
        <v>14</v>
      </c>
      <c r="H453" s="4">
        <v>30</v>
      </c>
      <c r="I45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4" spans="1:9">
      <c r="A454" s="2" t="s">
        <v>336</v>
      </c>
      <c r="B454" s="2" t="s">
        <v>17</v>
      </c>
      <c r="C454" s="3">
        <v>43434</v>
      </c>
      <c r="D454" s="2">
        <v>229</v>
      </c>
      <c r="E454" s="2" t="s">
        <v>9</v>
      </c>
      <c r="F454" s="2" t="s">
        <v>13</v>
      </c>
      <c r="G454" s="2" t="s">
        <v>14</v>
      </c>
      <c r="H454" s="4">
        <v>30</v>
      </c>
      <c r="I45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5" spans="1:9">
      <c r="A455" s="2" t="s">
        <v>337</v>
      </c>
      <c r="B455" s="2" t="s">
        <v>17</v>
      </c>
      <c r="C455" s="3">
        <v>43434</v>
      </c>
      <c r="D455" s="2">
        <v>230</v>
      </c>
      <c r="E455" s="2" t="s">
        <v>9</v>
      </c>
      <c r="F455" s="2" t="s">
        <v>13</v>
      </c>
      <c r="G455" s="2" t="s">
        <v>14</v>
      </c>
      <c r="H455" s="4">
        <v>30</v>
      </c>
      <c r="I45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6" spans="1:9">
      <c r="A456" s="2" t="s">
        <v>338</v>
      </c>
      <c r="B456" s="2" t="s">
        <v>22</v>
      </c>
      <c r="C456" s="3">
        <v>43434</v>
      </c>
      <c r="D456" s="2">
        <v>231</v>
      </c>
      <c r="E456" s="2" t="s">
        <v>9</v>
      </c>
      <c r="F456" s="2" t="s">
        <v>13</v>
      </c>
      <c r="G456" s="2" t="s">
        <v>14</v>
      </c>
      <c r="H456" s="4">
        <v>30</v>
      </c>
      <c r="I45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7" spans="1:9">
      <c r="A457" s="2" t="s">
        <v>339</v>
      </c>
      <c r="B457" s="2" t="s">
        <v>22</v>
      </c>
      <c r="C457" s="3">
        <v>43434</v>
      </c>
      <c r="D457" s="2">
        <v>232</v>
      </c>
      <c r="E457" s="2" t="s">
        <v>9</v>
      </c>
      <c r="F457" s="2" t="s">
        <v>13</v>
      </c>
      <c r="G457" s="2" t="s">
        <v>14</v>
      </c>
      <c r="H457" s="4">
        <v>30</v>
      </c>
      <c r="I45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8" spans="1:9">
      <c r="A458" s="2" t="s">
        <v>340</v>
      </c>
      <c r="B458" s="2" t="s">
        <v>8</v>
      </c>
      <c r="C458" s="3">
        <v>43434</v>
      </c>
      <c r="D458" s="2">
        <v>233</v>
      </c>
      <c r="E458" s="2" t="s">
        <v>9</v>
      </c>
      <c r="F458" s="2" t="s">
        <v>13</v>
      </c>
      <c r="G458" s="2" t="s">
        <v>14</v>
      </c>
      <c r="H458" s="4">
        <v>30</v>
      </c>
      <c r="I45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59" spans="1:9">
      <c r="A459" s="2" t="s">
        <v>96</v>
      </c>
      <c r="B459" s="2" t="s">
        <v>26</v>
      </c>
      <c r="C459" s="3">
        <v>43436</v>
      </c>
      <c r="D459" s="2">
        <v>8</v>
      </c>
      <c r="E459" s="2" t="s">
        <v>9</v>
      </c>
      <c r="F459" s="2" t="s">
        <v>10</v>
      </c>
      <c r="G459" s="2" t="s">
        <v>11</v>
      </c>
      <c r="H459" s="4">
        <v>18</v>
      </c>
      <c r="I45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0" spans="1:9">
      <c r="A460" s="2" t="s">
        <v>247</v>
      </c>
      <c r="B460" s="2" t="s">
        <v>26</v>
      </c>
      <c r="C460" s="3">
        <v>43436</v>
      </c>
      <c r="D460" s="2">
        <v>147</v>
      </c>
      <c r="E460" s="2" t="s">
        <v>9</v>
      </c>
      <c r="F460" s="2" t="s">
        <v>10</v>
      </c>
      <c r="G460" s="2" t="s">
        <v>11</v>
      </c>
      <c r="H460" s="4">
        <v>18</v>
      </c>
      <c r="I46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1" spans="1:9">
      <c r="A461" s="2" t="s">
        <v>269</v>
      </c>
      <c r="B461" s="2" t="s">
        <v>26</v>
      </c>
      <c r="C461" s="3">
        <v>43436</v>
      </c>
      <c r="D461" s="2">
        <v>162</v>
      </c>
      <c r="E461" s="2" t="s">
        <v>9</v>
      </c>
      <c r="F461" s="2" t="s">
        <v>10</v>
      </c>
      <c r="G461" s="2" t="s">
        <v>11</v>
      </c>
      <c r="H461" s="4">
        <v>18</v>
      </c>
      <c r="I46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2" spans="1:9">
      <c r="A462" s="2" t="s">
        <v>284</v>
      </c>
      <c r="B462" s="2" t="s">
        <v>26</v>
      </c>
      <c r="C462" s="3">
        <v>43436</v>
      </c>
      <c r="D462" s="2">
        <v>177</v>
      </c>
      <c r="E462" s="2" t="s">
        <v>9</v>
      </c>
      <c r="F462" s="2" t="s">
        <v>10</v>
      </c>
      <c r="G462" s="2" t="s">
        <v>11</v>
      </c>
      <c r="H462" s="4">
        <v>18</v>
      </c>
      <c r="I46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3" spans="1:9">
      <c r="A463" s="2" t="s">
        <v>299</v>
      </c>
      <c r="B463" s="2" t="s">
        <v>26</v>
      </c>
      <c r="C463" s="3">
        <v>43436</v>
      </c>
      <c r="D463" s="2">
        <v>192</v>
      </c>
      <c r="E463" s="2" t="s">
        <v>9</v>
      </c>
      <c r="F463" s="2" t="s">
        <v>10</v>
      </c>
      <c r="G463" s="2" t="s">
        <v>11</v>
      </c>
      <c r="H463" s="4">
        <v>18</v>
      </c>
      <c r="I46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4" spans="1:9">
      <c r="A464" s="2" t="s">
        <v>314</v>
      </c>
      <c r="B464" s="2" t="s">
        <v>26</v>
      </c>
      <c r="C464" s="3">
        <v>43436</v>
      </c>
      <c r="D464" s="2">
        <v>207</v>
      </c>
      <c r="E464" s="2" t="s">
        <v>9</v>
      </c>
      <c r="F464" s="2" t="s">
        <v>10</v>
      </c>
      <c r="G464" s="2" t="s">
        <v>11</v>
      </c>
      <c r="H464" s="4">
        <v>18</v>
      </c>
      <c r="I46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5" spans="1:9">
      <c r="A465" s="2" t="s">
        <v>329</v>
      </c>
      <c r="B465" s="2" t="s">
        <v>26</v>
      </c>
      <c r="C465" s="3">
        <v>43436</v>
      </c>
      <c r="D465" s="2">
        <v>222</v>
      </c>
      <c r="E465" s="2" t="s">
        <v>9</v>
      </c>
      <c r="F465" s="2" t="s">
        <v>10</v>
      </c>
      <c r="G465" s="2" t="s">
        <v>11</v>
      </c>
      <c r="H465" s="4">
        <v>18</v>
      </c>
      <c r="I46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66" spans="1:9">
      <c r="A466" s="2" t="s">
        <v>95</v>
      </c>
      <c r="B466" s="2" t="s">
        <v>22</v>
      </c>
      <c r="C466" s="3">
        <v>43440</v>
      </c>
      <c r="D466" s="2">
        <v>7</v>
      </c>
      <c r="E466" s="2" t="s">
        <v>9</v>
      </c>
      <c r="F466" s="2" t="s">
        <v>24</v>
      </c>
      <c r="G466" s="2" t="s">
        <v>25</v>
      </c>
      <c r="H466" s="4">
        <v>25</v>
      </c>
      <c r="I46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67" spans="1:9">
      <c r="A467" s="2" t="s">
        <v>246</v>
      </c>
      <c r="B467" s="2" t="s">
        <v>22</v>
      </c>
      <c r="C467" s="3">
        <v>43440</v>
      </c>
      <c r="D467" s="2">
        <v>146</v>
      </c>
      <c r="E467" s="2" t="s">
        <v>9</v>
      </c>
      <c r="F467" s="2" t="s">
        <v>24</v>
      </c>
      <c r="G467" s="2" t="s">
        <v>25</v>
      </c>
      <c r="H467" s="4">
        <v>25</v>
      </c>
      <c r="I46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68" spans="1:9">
      <c r="A468" s="2" t="s">
        <v>268</v>
      </c>
      <c r="B468" s="2" t="s">
        <v>22</v>
      </c>
      <c r="C468" s="3">
        <v>43440</v>
      </c>
      <c r="D468" s="2">
        <v>161</v>
      </c>
      <c r="E468" s="2" t="s">
        <v>9</v>
      </c>
      <c r="F468" s="2" t="s">
        <v>24</v>
      </c>
      <c r="G468" s="2" t="s">
        <v>25</v>
      </c>
      <c r="H468" s="4">
        <v>25</v>
      </c>
      <c r="I46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69" spans="1:9">
      <c r="A469" s="2" t="s">
        <v>283</v>
      </c>
      <c r="B469" s="2" t="s">
        <v>22</v>
      </c>
      <c r="C469" s="3">
        <v>43440</v>
      </c>
      <c r="D469" s="2">
        <v>176</v>
      </c>
      <c r="E469" s="2" t="s">
        <v>9</v>
      </c>
      <c r="F469" s="2" t="s">
        <v>24</v>
      </c>
      <c r="G469" s="2" t="s">
        <v>25</v>
      </c>
      <c r="H469" s="4">
        <v>25</v>
      </c>
      <c r="I46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70" spans="1:9">
      <c r="A470" s="2" t="s">
        <v>298</v>
      </c>
      <c r="B470" s="2" t="s">
        <v>22</v>
      </c>
      <c r="C470" s="3">
        <v>43440</v>
      </c>
      <c r="D470" s="2">
        <v>191</v>
      </c>
      <c r="E470" s="2" t="s">
        <v>9</v>
      </c>
      <c r="F470" s="2" t="s">
        <v>24</v>
      </c>
      <c r="G470" s="2" t="s">
        <v>25</v>
      </c>
      <c r="H470" s="4">
        <v>25</v>
      </c>
      <c r="I47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71" spans="1:9">
      <c r="A471" s="2" t="s">
        <v>313</v>
      </c>
      <c r="B471" s="2" t="s">
        <v>22</v>
      </c>
      <c r="C471" s="3">
        <v>43440</v>
      </c>
      <c r="D471" s="2">
        <v>206</v>
      </c>
      <c r="E471" s="2" t="s">
        <v>9</v>
      </c>
      <c r="F471" s="2" t="s">
        <v>24</v>
      </c>
      <c r="G471" s="2" t="s">
        <v>25</v>
      </c>
      <c r="H471" s="4">
        <v>25</v>
      </c>
      <c r="I47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72" spans="1:9">
      <c r="A472" s="2" t="s">
        <v>328</v>
      </c>
      <c r="B472" s="2" t="s">
        <v>22</v>
      </c>
      <c r="C472" s="3">
        <v>43440</v>
      </c>
      <c r="D472" s="2">
        <v>221</v>
      </c>
      <c r="E472" s="2" t="s">
        <v>9</v>
      </c>
      <c r="F472" s="2" t="s">
        <v>24</v>
      </c>
      <c r="G472" s="2" t="s">
        <v>25</v>
      </c>
      <c r="H472" s="4">
        <v>25</v>
      </c>
      <c r="I47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73" spans="1:9">
      <c r="A473" s="2" t="s">
        <v>94</v>
      </c>
      <c r="B473" s="2" t="s">
        <v>22</v>
      </c>
      <c r="C473" s="3">
        <v>43449</v>
      </c>
      <c r="D473" s="2">
        <v>6</v>
      </c>
      <c r="E473" s="2" t="s">
        <v>9</v>
      </c>
      <c r="F473" s="2" t="s">
        <v>13</v>
      </c>
      <c r="G473" s="2" t="s">
        <v>23</v>
      </c>
      <c r="H473" s="4">
        <v>18</v>
      </c>
      <c r="I47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4" spans="1:9">
      <c r="A474" s="2" t="s">
        <v>225</v>
      </c>
      <c r="B474" s="2" t="s">
        <v>22</v>
      </c>
      <c r="C474" s="3">
        <v>43449</v>
      </c>
      <c r="D474" s="2">
        <v>145</v>
      </c>
      <c r="E474" s="2" t="s">
        <v>9</v>
      </c>
      <c r="F474" s="2" t="s">
        <v>13</v>
      </c>
      <c r="G474" s="2" t="s">
        <v>23</v>
      </c>
      <c r="H474" s="4">
        <v>18</v>
      </c>
      <c r="I47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5" spans="1:9">
      <c r="A475" s="2" t="s">
        <v>267</v>
      </c>
      <c r="B475" s="2" t="s">
        <v>22</v>
      </c>
      <c r="C475" s="3">
        <v>43449</v>
      </c>
      <c r="D475" s="2">
        <v>160</v>
      </c>
      <c r="E475" s="2" t="s">
        <v>9</v>
      </c>
      <c r="F475" s="2" t="s">
        <v>13</v>
      </c>
      <c r="G475" s="2" t="s">
        <v>23</v>
      </c>
      <c r="H475" s="4">
        <v>18</v>
      </c>
      <c r="I47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6" spans="1:9">
      <c r="A476" s="2" t="s">
        <v>282</v>
      </c>
      <c r="B476" s="2" t="s">
        <v>22</v>
      </c>
      <c r="C476" s="3">
        <v>43449</v>
      </c>
      <c r="D476" s="2">
        <v>175</v>
      </c>
      <c r="E476" s="2" t="s">
        <v>9</v>
      </c>
      <c r="F476" s="2" t="s">
        <v>13</v>
      </c>
      <c r="G476" s="2" t="s">
        <v>23</v>
      </c>
      <c r="H476" s="4">
        <v>18</v>
      </c>
      <c r="I47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7" spans="1:9">
      <c r="A477" s="2" t="s">
        <v>297</v>
      </c>
      <c r="B477" s="2" t="s">
        <v>22</v>
      </c>
      <c r="C477" s="3">
        <v>43449</v>
      </c>
      <c r="D477" s="2">
        <v>190</v>
      </c>
      <c r="E477" s="2" t="s">
        <v>9</v>
      </c>
      <c r="F477" s="2" t="s">
        <v>13</v>
      </c>
      <c r="G477" s="2" t="s">
        <v>23</v>
      </c>
      <c r="H477" s="4">
        <v>18</v>
      </c>
      <c r="I47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8" spans="1:9">
      <c r="A478" s="2" t="s">
        <v>312</v>
      </c>
      <c r="B478" s="2" t="s">
        <v>22</v>
      </c>
      <c r="C478" s="3">
        <v>43449</v>
      </c>
      <c r="D478" s="2">
        <v>205</v>
      </c>
      <c r="E478" s="2" t="s">
        <v>9</v>
      </c>
      <c r="F478" s="2" t="s">
        <v>13</v>
      </c>
      <c r="G478" s="2" t="s">
        <v>23</v>
      </c>
      <c r="H478" s="4">
        <v>18</v>
      </c>
      <c r="I47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79" spans="1:9">
      <c r="A479" s="2" t="s">
        <v>327</v>
      </c>
      <c r="B479" s="2" t="s">
        <v>22</v>
      </c>
      <c r="C479" s="3">
        <v>43449</v>
      </c>
      <c r="D479" s="2">
        <v>220</v>
      </c>
      <c r="E479" s="2" t="s">
        <v>9</v>
      </c>
      <c r="F479" s="2" t="s">
        <v>13</v>
      </c>
      <c r="G479" s="2" t="s">
        <v>23</v>
      </c>
      <c r="H479" s="4">
        <v>18</v>
      </c>
      <c r="I47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0" spans="1:9">
      <c r="A480" s="2" t="s">
        <v>93</v>
      </c>
      <c r="B480" s="2" t="s">
        <v>17</v>
      </c>
      <c r="C480" s="3">
        <v>43452</v>
      </c>
      <c r="D480" s="2">
        <v>4</v>
      </c>
      <c r="E480" s="2" t="s">
        <v>9</v>
      </c>
      <c r="F480" s="2" t="s">
        <v>18</v>
      </c>
      <c r="G480" s="2" t="s">
        <v>19</v>
      </c>
      <c r="H480" s="4">
        <v>22</v>
      </c>
      <c r="I48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81" spans="1:9">
      <c r="A481" s="2" t="s">
        <v>223</v>
      </c>
      <c r="B481" s="2" t="s">
        <v>17</v>
      </c>
      <c r="C481" s="3">
        <v>43452</v>
      </c>
      <c r="D481" s="2">
        <v>143</v>
      </c>
      <c r="E481" s="2" t="s">
        <v>9</v>
      </c>
      <c r="F481" s="2" t="s">
        <v>18</v>
      </c>
      <c r="G481" s="2" t="s">
        <v>19</v>
      </c>
      <c r="H481" s="4">
        <v>22</v>
      </c>
      <c r="I48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82" spans="1:9">
      <c r="A482" s="2" t="s">
        <v>91</v>
      </c>
      <c r="B482" s="2" t="s">
        <v>12</v>
      </c>
      <c r="C482" s="3">
        <v>43459</v>
      </c>
      <c r="D482" s="2">
        <v>2</v>
      </c>
      <c r="E482" s="2" t="s">
        <v>9</v>
      </c>
      <c r="F482" s="2" t="s">
        <v>13</v>
      </c>
      <c r="G482" s="2" t="s">
        <v>14</v>
      </c>
      <c r="H482" s="4">
        <v>9</v>
      </c>
      <c r="I48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3" spans="1:9">
      <c r="A483" s="2" t="s">
        <v>92</v>
      </c>
      <c r="B483" s="2" t="s">
        <v>12</v>
      </c>
      <c r="C483" s="3">
        <v>43459</v>
      </c>
      <c r="D483" s="2">
        <v>3</v>
      </c>
      <c r="E483" s="2" t="s">
        <v>9</v>
      </c>
      <c r="F483" s="2" t="s">
        <v>15</v>
      </c>
      <c r="G483" s="2" t="s">
        <v>16</v>
      </c>
      <c r="H483" s="4">
        <v>39</v>
      </c>
      <c r="I48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84" spans="1:9">
      <c r="A484" s="2" t="s">
        <v>221</v>
      </c>
      <c r="B484" s="2" t="s">
        <v>12</v>
      </c>
      <c r="C484" s="3">
        <v>43459</v>
      </c>
      <c r="D484" s="2">
        <v>141</v>
      </c>
      <c r="E484" s="2" t="s">
        <v>9</v>
      </c>
      <c r="F484" s="2" t="s">
        <v>13</v>
      </c>
      <c r="G484" s="2" t="s">
        <v>14</v>
      </c>
      <c r="H484" s="4">
        <v>9</v>
      </c>
      <c r="I48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5" spans="1:9">
      <c r="A485" s="2" t="s">
        <v>222</v>
      </c>
      <c r="B485" s="2" t="s">
        <v>12</v>
      </c>
      <c r="C485" s="3">
        <v>43459</v>
      </c>
      <c r="D485" s="2">
        <v>142</v>
      </c>
      <c r="E485" s="2" t="s">
        <v>9</v>
      </c>
      <c r="F485" s="2" t="s">
        <v>15</v>
      </c>
      <c r="G485" s="2" t="s">
        <v>16</v>
      </c>
      <c r="H485" s="4">
        <v>39</v>
      </c>
      <c r="I48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86" spans="1:9">
      <c r="A486" s="2" t="s">
        <v>90</v>
      </c>
      <c r="B486" s="2" t="s">
        <v>8</v>
      </c>
      <c r="C486" s="3">
        <v>43464</v>
      </c>
      <c r="D486" s="2">
        <v>1</v>
      </c>
      <c r="E486" s="2" t="s">
        <v>9</v>
      </c>
      <c r="F486" s="2" t="s">
        <v>10</v>
      </c>
      <c r="G486" s="2" t="s">
        <v>11</v>
      </c>
      <c r="H486" s="4">
        <v>19</v>
      </c>
      <c r="I48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7" spans="1:9">
      <c r="A487" s="2" t="s">
        <v>220</v>
      </c>
      <c r="B487" s="2" t="s">
        <v>8</v>
      </c>
      <c r="C487" s="3">
        <v>43464</v>
      </c>
      <c r="D487" s="2">
        <v>140</v>
      </c>
      <c r="E487" s="2" t="s">
        <v>9</v>
      </c>
      <c r="F487" s="2" t="s">
        <v>10</v>
      </c>
      <c r="G487" s="2" t="s">
        <v>11</v>
      </c>
      <c r="H487" s="4">
        <v>19</v>
      </c>
      <c r="I48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88" spans="1:9">
      <c r="A488" s="2" t="s">
        <v>326</v>
      </c>
      <c r="B488" s="2" t="s">
        <v>17</v>
      </c>
      <c r="C488" s="3">
        <v>43466</v>
      </c>
      <c r="D488" s="2">
        <v>219</v>
      </c>
      <c r="E488" s="2" t="s">
        <v>9</v>
      </c>
      <c r="F488" s="2" t="s">
        <v>20</v>
      </c>
      <c r="G488" s="2" t="s">
        <v>21</v>
      </c>
      <c r="H488" s="4">
        <v>8</v>
      </c>
      <c r="I48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89" spans="1:9">
      <c r="A489" s="2" t="s">
        <v>332</v>
      </c>
      <c r="B489" s="2" t="s">
        <v>27</v>
      </c>
      <c r="C489" s="3">
        <v>43797</v>
      </c>
      <c r="D489" s="2">
        <v>225</v>
      </c>
      <c r="E489" s="2" t="s">
        <v>9</v>
      </c>
      <c r="F489" s="2" t="s">
        <v>18</v>
      </c>
      <c r="G489" s="2" t="s">
        <v>19</v>
      </c>
      <c r="H489" s="4">
        <v>24</v>
      </c>
      <c r="I48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490" spans="1:9">
      <c r="A490" s="2" t="s">
        <v>346</v>
      </c>
      <c r="B490" s="2" t="s">
        <v>27</v>
      </c>
      <c r="C490" s="3">
        <v>43797</v>
      </c>
      <c r="D490" s="2">
        <v>238</v>
      </c>
      <c r="E490" s="2" t="s">
        <v>9</v>
      </c>
      <c r="F490" s="2" t="s">
        <v>13</v>
      </c>
      <c r="G490" s="2" t="s">
        <v>14</v>
      </c>
      <c r="H490" s="4">
        <v>30</v>
      </c>
      <c r="I49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1" spans="1:9">
      <c r="A491" s="2" t="s">
        <v>346</v>
      </c>
      <c r="B491" s="2" t="s">
        <v>27</v>
      </c>
      <c r="C491" s="3">
        <v>43797</v>
      </c>
      <c r="D491" s="2">
        <v>248</v>
      </c>
      <c r="E491" s="2" t="s">
        <v>9</v>
      </c>
      <c r="F491" s="2" t="s">
        <v>13</v>
      </c>
      <c r="G491" s="2" t="s">
        <v>14</v>
      </c>
      <c r="H491" s="4">
        <v>30</v>
      </c>
      <c r="I49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2" spans="1:9">
      <c r="A492" s="2" t="s">
        <v>331</v>
      </c>
      <c r="B492" s="2" t="s">
        <v>27</v>
      </c>
      <c r="C492" s="3">
        <v>43798</v>
      </c>
      <c r="D492" s="2">
        <v>224</v>
      </c>
      <c r="E492" s="2" t="s">
        <v>9</v>
      </c>
      <c r="F492" s="2" t="s">
        <v>15</v>
      </c>
      <c r="G492" s="2" t="s">
        <v>16</v>
      </c>
      <c r="H492" s="4">
        <v>24</v>
      </c>
      <c r="I49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493" spans="1:9">
      <c r="A493" s="2" t="s">
        <v>345</v>
      </c>
      <c r="B493" s="2" t="s">
        <v>27</v>
      </c>
      <c r="C493" s="3">
        <v>43798</v>
      </c>
      <c r="D493" s="2">
        <v>237</v>
      </c>
      <c r="E493" s="2" t="s">
        <v>9</v>
      </c>
      <c r="F493" s="2" t="s">
        <v>13</v>
      </c>
      <c r="G493" s="2" t="s">
        <v>14</v>
      </c>
      <c r="H493" s="4">
        <v>30</v>
      </c>
      <c r="I49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4" spans="1:9">
      <c r="A494" s="2" t="s">
        <v>345</v>
      </c>
      <c r="B494" s="2" t="s">
        <v>27</v>
      </c>
      <c r="C494" s="3">
        <v>43798</v>
      </c>
      <c r="D494" s="2">
        <v>247</v>
      </c>
      <c r="E494" s="2" t="s">
        <v>9</v>
      </c>
      <c r="F494" s="2" t="s">
        <v>13</v>
      </c>
      <c r="G494" s="2" t="s">
        <v>14</v>
      </c>
      <c r="H494" s="4">
        <v>30</v>
      </c>
      <c r="I49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5" spans="1:9">
      <c r="A495" s="2" t="s">
        <v>323</v>
      </c>
      <c r="B495" s="2" t="s">
        <v>22</v>
      </c>
      <c r="C495" s="3">
        <v>43799</v>
      </c>
      <c r="D495" s="2">
        <v>216</v>
      </c>
      <c r="E495" s="2" t="s">
        <v>9</v>
      </c>
      <c r="F495" s="2" t="s">
        <v>13</v>
      </c>
      <c r="G495" s="2" t="s">
        <v>14</v>
      </c>
      <c r="H495" s="4">
        <v>30</v>
      </c>
      <c r="I49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6" spans="1:9">
      <c r="A496" s="2" t="s">
        <v>324</v>
      </c>
      <c r="B496" s="2" t="s">
        <v>22</v>
      </c>
      <c r="C496" s="3">
        <v>43799</v>
      </c>
      <c r="D496" s="2">
        <v>217</v>
      </c>
      <c r="E496" s="2" t="s">
        <v>9</v>
      </c>
      <c r="F496" s="2" t="s">
        <v>13</v>
      </c>
      <c r="G496" s="2" t="s">
        <v>14</v>
      </c>
      <c r="H496" s="4">
        <v>30</v>
      </c>
      <c r="I49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7" spans="1:9">
      <c r="A497" s="2" t="s">
        <v>325</v>
      </c>
      <c r="B497" s="2" t="s">
        <v>8</v>
      </c>
      <c r="C497" s="3">
        <v>43799</v>
      </c>
      <c r="D497" s="2">
        <v>218</v>
      </c>
      <c r="E497" s="2" t="s">
        <v>9</v>
      </c>
      <c r="F497" s="2" t="s">
        <v>13</v>
      </c>
      <c r="G497" s="2" t="s">
        <v>14</v>
      </c>
      <c r="H497" s="4">
        <v>30</v>
      </c>
      <c r="I49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8" spans="1:9">
      <c r="A498" s="2" t="s">
        <v>330</v>
      </c>
      <c r="B498" s="2" t="s">
        <v>26</v>
      </c>
      <c r="C498" s="3">
        <v>43799</v>
      </c>
      <c r="D498" s="2">
        <v>223</v>
      </c>
      <c r="E498" s="2" t="s">
        <v>9</v>
      </c>
      <c r="F498" s="2" t="s">
        <v>13</v>
      </c>
      <c r="G498" s="2" t="s">
        <v>14</v>
      </c>
      <c r="H498" s="4">
        <v>30</v>
      </c>
      <c r="I49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499" spans="1:9">
      <c r="A499" s="2" t="s">
        <v>333</v>
      </c>
      <c r="B499" s="2" t="s">
        <v>8</v>
      </c>
      <c r="C499" s="3">
        <v>43799</v>
      </c>
      <c r="D499" s="2">
        <v>226</v>
      </c>
      <c r="E499" s="2" t="s">
        <v>9</v>
      </c>
      <c r="F499" s="2" t="s">
        <v>13</v>
      </c>
      <c r="G499" s="2" t="s">
        <v>14</v>
      </c>
      <c r="H499" s="4">
        <v>30</v>
      </c>
      <c r="I49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0" spans="1:9">
      <c r="A500" s="2" t="s">
        <v>334</v>
      </c>
      <c r="B500" s="2" t="s">
        <v>12</v>
      </c>
      <c r="C500" s="3">
        <v>43799</v>
      </c>
      <c r="D500" s="2">
        <v>227</v>
      </c>
      <c r="E500" s="2" t="s">
        <v>9</v>
      </c>
      <c r="F500" s="2" t="s">
        <v>13</v>
      </c>
      <c r="G500" s="2" t="s">
        <v>14</v>
      </c>
      <c r="H500" s="4">
        <v>30</v>
      </c>
      <c r="I50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1" spans="1:9">
      <c r="A501" s="2" t="s">
        <v>335</v>
      </c>
      <c r="B501" s="2" t="s">
        <v>12</v>
      </c>
      <c r="C501" s="3">
        <v>43799</v>
      </c>
      <c r="D501" s="2">
        <v>228</v>
      </c>
      <c r="E501" s="2" t="s">
        <v>9</v>
      </c>
      <c r="F501" s="2" t="s">
        <v>13</v>
      </c>
      <c r="G501" s="2" t="s">
        <v>14</v>
      </c>
      <c r="H501" s="4">
        <v>30</v>
      </c>
      <c r="I50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2" spans="1:9">
      <c r="A502" s="2" t="s">
        <v>336</v>
      </c>
      <c r="B502" s="2" t="s">
        <v>17</v>
      </c>
      <c r="C502" s="3">
        <v>43799</v>
      </c>
      <c r="D502" s="2">
        <v>229</v>
      </c>
      <c r="E502" s="2" t="s">
        <v>9</v>
      </c>
      <c r="F502" s="2" t="s">
        <v>13</v>
      </c>
      <c r="G502" s="2" t="s">
        <v>14</v>
      </c>
      <c r="H502" s="4">
        <v>30</v>
      </c>
      <c r="I50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3" spans="1:9">
      <c r="A503" s="2" t="s">
        <v>337</v>
      </c>
      <c r="B503" s="2" t="s">
        <v>17</v>
      </c>
      <c r="C503" s="3">
        <v>43799</v>
      </c>
      <c r="D503" s="2">
        <v>230</v>
      </c>
      <c r="E503" s="2" t="s">
        <v>9</v>
      </c>
      <c r="F503" s="2" t="s">
        <v>13</v>
      </c>
      <c r="G503" s="2" t="s">
        <v>14</v>
      </c>
      <c r="H503" s="4">
        <v>30</v>
      </c>
      <c r="I50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4" spans="1:9">
      <c r="A504" s="2" t="s">
        <v>338</v>
      </c>
      <c r="B504" s="2" t="s">
        <v>22</v>
      </c>
      <c r="C504" s="3">
        <v>43799</v>
      </c>
      <c r="D504" s="2">
        <v>231</v>
      </c>
      <c r="E504" s="2" t="s">
        <v>9</v>
      </c>
      <c r="F504" s="2" t="s">
        <v>13</v>
      </c>
      <c r="G504" s="2" t="s">
        <v>14</v>
      </c>
      <c r="H504" s="4">
        <v>30</v>
      </c>
      <c r="I50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5" spans="1:9">
      <c r="A505" s="2" t="s">
        <v>339</v>
      </c>
      <c r="B505" s="2" t="s">
        <v>22</v>
      </c>
      <c r="C505" s="3">
        <v>43799</v>
      </c>
      <c r="D505" s="2">
        <v>232</v>
      </c>
      <c r="E505" s="2" t="s">
        <v>9</v>
      </c>
      <c r="F505" s="2" t="s">
        <v>13</v>
      </c>
      <c r="G505" s="2" t="s">
        <v>14</v>
      </c>
      <c r="H505" s="4">
        <v>30</v>
      </c>
      <c r="I50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6" spans="1:9">
      <c r="A506" s="2" t="s">
        <v>340</v>
      </c>
      <c r="B506" s="2" t="s">
        <v>8</v>
      </c>
      <c r="C506" s="3">
        <v>43799</v>
      </c>
      <c r="D506" s="2">
        <v>233</v>
      </c>
      <c r="E506" s="2" t="s">
        <v>9</v>
      </c>
      <c r="F506" s="2" t="s">
        <v>13</v>
      </c>
      <c r="G506" s="2" t="s">
        <v>14</v>
      </c>
      <c r="H506" s="4">
        <v>30</v>
      </c>
      <c r="I50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7" spans="1:9">
      <c r="A507" s="2" t="s">
        <v>344</v>
      </c>
      <c r="B507" s="2" t="s">
        <v>26</v>
      </c>
      <c r="C507" s="3">
        <v>43799</v>
      </c>
      <c r="D507" s="2">
        <v>236</v>
      </c>
      <c r="E507" s="2" t="s">
        <v>9</v>
      </c>
      <c r="F507" s="2" t="s">
        <v>18</v>
      </c>
      <c r="G507" s="2" t="s">
        <v>19</v>
      </c>
      <c r="H507" s="4">
        <v>24</v>
      </c>
      <c r="I50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08" spans="1:9">
      <c r="A508" s="2" t="s">
        <v>347</v>
      </c>
      <c r="B508" s="2" t="s">
        <v>8</v>
      </c>
      <c r="C508" s="3">
        <v>43799</v>
      </c>
      <c r="D508" s="2">
        <v>239</v>
      </c>
      <c r="E508" s="2" t="s">
        <v>9</v>
      </c>
      <c r="F508" s="2" t="s">
        <v>13</v>
      </c>
      <c r="G508" s="2" t="s">
        <v>14</v>
      </c>
      <c r="H508" s="4">
        <v>30</v>
      </c>
      <c r="I50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09" spans="1:9">
      <c r="A509" s="2" t="s">
        <v>337</v>
      </c>
      <c r="B509" s="2" t="s">
        <v>17</v>
      </c>
      <c r="C509" s="3">
        <v>43799</v>
      </c>
      <c r="D509" s="2">
        <v>240</v>
      </c>
      <c r="E509" s="2" t="s">
        <v>9</v>
      </c>
      <c r="F509" s="2" t="s">
        <v>13</v>
      </c>
      <c r="G509" s="2" t="s">
        <v>14</v>
      </c>
      <c r="H509" s="4">
        <v>30</v>
      </c>
      <c r="I50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0" spans="1:9">
      <c r="A510" s="2" t="s">
        <v>338</v>
      </c>
      <c r="B510" s="2" t="s">
        <v>22</v>
      </c>
      <c r="C510" s="3">
        <v>43799</v>
      </c>
      <c r="D510" s="2">
        <v>241</v>
      </c>
      <c r="E510" s="2" t="s">
        <v>9</v>
      </c>
      <c r="F510" s="2" t="s">
        <v>13</v>
      </c>
      <c r="G510" s="2" t="s">
        <v>14</v>
      </c>
      <c r="H510" s="4">
        <v>30</v>
      </c>
      <c r="I51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1" spans="1:9">
      <c r="A511" s="2" t="s">
        <v>339</v>
      </c>
      <c r="B511" s="2" t="s">
        <v>22</v>
      </c>
      <c r="C511" s="3">
        <v>43799</v>
      </c>
      <c r="D511" s="2">
        <v>242</v>
      </c>
      <c r="E511" s="2" t="s">
        <v>9</v>
      </c>
      <c r="F511" s="2" t="s">
        <v>13</v>
      </c>
      <c r="G511" s="2" t="s">
        <v>14</v>
      </c>
      <c r="H511" s="4">
        <v>30</v>
      </c>
      <c r="I51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2" spans="1:9">
      <c r="A512" s="2" t="s">
        <v>340</v>
      </c>
      <c r="B512" s="2" t="s">
        <v>8</v>
      </c>
      <c r="C512" s="3">
        <v>43799</v>
      </c>
      <c r="D512" s="2">
        <v>243</v>
      </c>
      <c r="E512" s="2" t="s">
        <v>9</v>
      </c>
      <c r="F512" s="2" t="s">
        <v>13</v>
      </c>
      <c r="G512" s="2" t="s">
        <v>14</v>
      </c>
      <c r="H512" s="4">
        <v>30</v>
      </c>
      <c r="I51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3" spans="1:9">
      <c r="A513" s="2" t="s">
        <v>344</v>
      </c>
      <c r="B513" s="2" t="s">
        <v>26</v>
      </c>
      <c r="C513" s="3">
        <v>43799</v>
      </c>
      <c r="D513" s="2">
        <v>246</v>
      </c>
      <c r="E513" s="2" t="s">
        <v>9</v>
      </c>
      <c r="F513" s="2" t="s">
        <v>18</v>
      </c>
      <c r="G513" s="2" t="s">
        <v>19</v>
      </c>
      <c r="H513" s="4">
        <v>24</v>
      </c>
      <c r="I51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14" spans="1:9">
      <c r="A514" s="2" t="s">
        <v>347</v>
      </c>
      <c r="B514" s="2" t="s">
        <v>348</v>
      </c>
      <c r="C514" s="3">
        <v>43799</v>
      </c>
      <c r="D514" s="2">
        <v>249</v>
      </c>
      <c r="E514" s="2" t="s">
        <v>9</v>
      </c>
      <c r="F514" s="2" t="s">
        <v>13</v>
      </c>
      <c r="G514" s="2" t="s">
        <v>14</v>
      </c>
      <c r="H514" s="4">
        <v>30</v>
      </c>
      <c r="I5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5" spans="1:9">
      <c r="A515" s="2" t="s">
        <v>349</v>
      </c>
      <c r="B515" s="2" t="s">
        <v>350</v>
      </c>
      <c r="C515" s="3">
        <v>43799</v>
      </c>
      <c r="D515" s="2">
        <v>249</v>
      </c>
      <c r="E515" s="2" t="s">
        <v>9</v>
      </c>
      <c r="F515" s="2" t="s">
        <v>13</v>
      </c>
      <c r="G515" s="2" t="s">
        <v>16</v>
      </c>
      <c r="H515" s="4">
        <v>30</v>
      </c>
      <c r="I51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6" spans="1:9">
      <c r="A516" s="2" t="s">
        <v>347</v>
      </c>
      <c r="B516" s="2" t="s">
        <v>8</v>
      </c>
      <c r="C516" s="3">
        <v>43799</v>
      </c>
      <c r="D516" s="2">
        <v>239</v>
      </c>
      <c r="E516" s="2" t="s">
        <v>9</v>
      </c>
      <c r="F516" s="2" t="s">
        <v>381</v>
      </c>
      <c r="G516" s="2" t="s">
        <v>14</v>
      </c>
      <c r="H516" s="4">
        <v>30</v>
      </c>
      <c r="I51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17" spans="1:9">
      <c r="A517" s="2"/>
      <c r="B517" s="2" t="s">
        <v>265</v>
      </c>
      <c r="C517" s="3">
        <v>43799</v>
      </c>
      <c r="D517" s="2">
        <v>239</v>
      </c>
      <c r="E517" s="2" t="s">
        <v>9</v>
      </c>
      <c r="F517" s="2" t="s">
        <v>381</v>
      </c>
      <c r="G517" s="2" t="s">
        <v>14</v>
      </c>
      <c r="H517" s="4" t="e">
        <f>2/0</f>
        <v>#DIV/0!</v>
      </c>
      <c r="I51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18" spans="1:9">
      <c r="A518" s="2" t="s">
        <v>329</v>
      </c>
      <c r="B518" s="2" t="s">
        <v>26</v>
      </c>
      <c r="C518" s="3">
        <v>43801</v>
      </c>
      <c r="D518" s="2">
        <v>222</v>
      </c>
      <c r="E518" s="2" t="s">
        <v>9</v>
      </c>
      <c r="F518" s="2" t="s">
        <v>10</v>
      </c>
      <c r="G518" s="2" t="s">
        <v>11</v>
      </c>
      <c r="H518" s="4">
        <v>18</v>
      </c>
      <c r="I51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19" spans="1:9">
      <c r="A519" s="2" t="s">
        <v>343</v>
      </c>
      <c r="B519" s="2" t="s">
        <v>26</v>
      </c>
      <c r="C519" s="3">
        <v>43801</v>
      </c>
      <c r="D519" s="2">
        <v>235</v>
      </c>
      <c r="E519" s="2" t="s">
        <v>9</v>
      </c>
      <c r="F519" s="2" t="s">
        <v>15</v>
      </c>
      <c r="G519" s="2" t="s">
        <v>16</v>
      </c>
      <c r="H519" s="4">
        <v>24</v>
      </c>
      <c r="I51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20" spans="1:9">
      <c r="A520" s="2" t="s">
        <v>343</v>
      </c>
      <c r="B520" s="2" t="s">
        <v>26</v>
      </c>
      <c r="C520" s="3">
        <v>43801</v>
      </c>
      <c r="D520" s="2">
        <v>245</v>
      </c>
      <c r="E520" s="2" t="s">
        <v>9</v>
      </c>
      <c r="F520" s="2" t="s">
        <v>15</v>
      </c>
      <c r="G520" s="2" t="s">
        <v>16</v>
      </c>
      <c r="H520" s="4">
        <v>24</v>
      </c>
      <c r="I52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21" spans="1:9">
      <c r="A521" s="2" t="s">
        <v>328</v>
      </c>
      <c r="B521" s="2" t="s">
        <v>22</v>
      </c>
      <c r="C521" s="3">
        <v>43805</v>
      </c>
      <c r="D521" s="2">
        <v>221</v>
      </c>
      <c r="E521" s="2" t="s">
        <v>9</v>
      </c>
      <c r="F521" s="2" t="s">
        <v>24</v>
      </c>
      <c r="G521" s="2" t="s">
        <v>25</v>
      </c>
      <c r="H521" s="4">
        <v>25</v>
      </c>
      <c r="I52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22" spans="1:9">
      <c r="A522" s="2" t="s">
        <v>342</v>
      </c>
      <c r="B522" s="2" t="s">
        <v>22</v>
      </c>
      <c r="C522" s="3">
        <v>43805</v>
      </c>
      <c r="D522" s="2">
        <v>234</v>
      </c>
      <c r="E522" s="2" t="s">
        <v>9</v>
      </c>
      <c r="F522" s="2" t="s">
        <v>13</v>
      </c>
      <c r="G522" s="2" t="s">
        <v>14</v>
      </c>
      <c r="H522" s="4">
        <v>30</v>
      </c>
      <c r="I52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3" spans="1:9">
      <c r="A523" s="2" t="s">
        <v>342</v>
      </c>
      <c r="B523" s="2" t="s">
        <v>22</v>
      </c>
      <c r="C523" s="3">
        <v>43805</v>
      </c>
      <c r="D523" s="2">
        <v>244</v>
      </c>
      <c r="E523" s="2" t="s">
        <v>9</v>
      </c>
      <c r="F523" s="2" t="s">
        <v>13</v>
      </c>
      <c r="G523" s="2" t="s">
        <v>14</v>
      </c>
      <c r="H523" s="4">
        <v>30</v>
      </c>
      <c r="I52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4" spans="1:9">
      <c r="A524" s="2" t="s">
        <v>327</v>
      </c>
      <c r="B524" s="2" t="s">
        <v>22</v>
      </c>
      <c r="C524" s="3">
        <v>43814</v>
      </c>
      <c r="D524" s="2">
        <v>220</v>
      </c>
      <c r="E524" s="2" t="s">
        <v>9</v>
      </c>
      <c r="F524" s="2" t="s">
        <v>13</v>
      </c>
      <c r="G524" s="2" t="s">
        <v>23</v>
      </c>
      <c r="H524" s="4">
        <v>18</v>
      </c>
      <c r="I52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5" spans="1:9">
      <c r="A525" s="2" t="s">
        <v>346</v>
      </c>
      <c r="B525" s="2" t="s">
        <v>27</v>
      </c>
      <c r="C525" s="3">
        <v>44163</v>
      </c>
      <c r="D525" s="2">
        <v>248</v>
      </c>
      <c r="E525" s="2" t="s">
        <v>385</v>
      </c>
      <c r="F525" s="2" t="s">
        <v>13</v>
      </c>
      <c r="G525" s="2" t="s">
        <v>14</v>
      </c>
      <c r="H525" s="4">
        <v>30</v>
      </c>
      <c r="I52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6" spans="1:9">
      <c r="A526" s="2" t="s">
        <v>345</v>
      </c>
      <c r="B526" s="2" t="s">
        <v>27</v>
      </c>
      <c r="C526" s="3">
        <v>44164</v>
      </c>
      <c r="D526" s="2">
        <v>247</v>
      </c>
      <c r="E526" s="2" t="s">
        <v>385</v>
      </c>
      <c r="F526" s="2" t="s">
        <v>13</v>
      </c>
      <c r="G526" s="2" t="s">
        <v>14</v>
      </c>
      <c r="H526" s="4">
        <v>30</v>
      </c>
      <c r="I52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7" spans="1:9">
      <c r="A527" s="2" t="s">
        <v>340</v>
      </c>
      <c r="B527" s="2" t="s">
        <v>8</v>
      </c>
      <c r="C527" s="3">
        <v>44165</v>
      </c>
      <c r="D527" s="2">
        <v>243</v>
      </c>
      <c r="E527" s="2" t="s">
        <v>385</v>
      </c>
      <c r="F527" s="2" t="s">
        <v>13</v>
      </c>
      <c r="G527" s="2" t="s">
        <v>14</v>
      </c>
      <c r="H527" s="4">
        <v>30</v>
      </c>
      <c r="I5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28" spans="1:9">
      <c r="A528" s="2" t="s">
        <v>344</v>
      </c>
      <c r="B528" s="2" t="s">
        <v>26</v>
      </c>
      <c r="C528" s="3">
        <v>44165</v>
      </c>
      <c r="D528" s="2">
        <v>246</v>
      </c>
      <c r="E528" s="2" t="s">
        <v>385</v>
      </c>
      <c r="F528" s="2" t="s">
        <v>18</v>
      </c>
      <c r="G528" s="2" t="s">
        <v>19</v>
      </c>
      <c r="H528" s="4">
        <v>24</v>
      </c>
      <c r="I52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29" spans="1:13">
      <c r="A529" s="2" t="s">
        <v>347</v>
      </c>
      <c r="B529" s="2" t="s">
        <v>348</v>
      </c>
      <c r="C529" s="3">
        <v>44165</v>
      </c>
      <c r="D529" s="2">
        <v>249</v>
      </c>
      <c r="E529" s="2" t="s">
        <v>385</v>
      </c>
      <c r="F529" s="2" t="s">
        <v>13</v>
      </c>
      <c r="G529" s="2" t="s">
        <v>14</v>
      </c>
      <c r="H529" s="4">
        <v>30</v>
      </c>
      <c r="I52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0" spans="1:13">
      <c r="A530" s="2" t="s">
        <v>349</v>
      </c>
      <c r="B530" s="2" t="s">
        <v>350</v>
      </c>
      <c r="C530" s="3">
        <v>44165</v>
      </c>
      <c r="D530" s="2">
        <v>249</v>
      </c>
      <c r="E530" s="2" t="s">
        <v>385</v>
      </c>
      <c r="F530" s="2" t="s">
        <v>13</v>
      </c>
      <c r="G530" s="2" t="s">
        <v>16</v>
      </c>
      <c r="H530" s="4">
        <v>30</v>
      </c>
      <c r="I53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1" spans="1:13">
      <c r="A531" s="2" t="s">
        <v>354</v>
      </c>
      <c r="B531" s="2" t="s">
        <v>265</v>
      </c>
      <c r="C531" s="3">
        <v>44165</v>
      </c>
      <c r="D531" s="2">
        <v>249</v>
      </c>
      <c r="E531" s="2" t="s">
        <v>385</v>
      </c>
      <c r="F531" s="2" t="s">
        <v>13</v>
      </c>
      <c r="G531" s="2" t="s">
        <v>14</v>
      </c>
      <c r="H531" s="4">
        <v>30</v>
      </c>
      <c r="I53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2" spans="1:13">
      <c r="A532" s="2"/>
      <c r="B532" s="2" t="s">
        <v>376</v>
      </c>
      <c r="C532" s="3">
        <v>44165</v>
      </c>
      <c r="D532" s="2">
        <v>249</v>
      </c>
      <c r="E532" s="2" t="s">
        <v>385</v>
      </c>
      <c r="F532" s="2" t="s">
        <v>13</v>
      </c>
      <c r="G532" s="2" t="s">
        <v>14</v>
      </c>
      <c r="H532" s="4">
        <v>30</v>
      </c>
      <c r="I53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3" spans="1:13">
      <c r="A533" s="2"/>
      <c r="B533" s="2" t="s">
        <v>377</v>
      </c>
      <c r="C533" s="3">
        <v>44165</v>
      </c>
      <c r="D533" s="2">
        <v>249</v>
      </c>
      <c r="E533" s="2" t="s">
        <v>385</v>
      </c>
      <c r="F533" s="2" t="s">
        <v>13</v>
      </c>
      <c r="G533" s="2" t="s">
        <v>16</v>
      </c>
      <c r="H533" s="4" t="e">
        <f>30/0</f>
        <v>#DIV/0!</v>
      </c>
      <c r="I5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4" spans="1:13">
      <c r="A534" s="2"/>
      <c r="B534" s="2" t="s">
        <v>378</v>
      </c>
      <c r="C534" s="3">
        <v>44165</v>
      </c>
      <c r="D534" s="2">
        <v>249</v>
      </c>
      <c r="E534" s="2" t="s">
        <v>385</v>
      </c>
      <c r="F534" s="2" t="s">
        <v>13</v>
      </c>
      <c r="G534" s="2" t="s">
        <v>16</v>
      </c>
      <c r="H534" s="4">
        <v>30</v>
      </c>
      <c r="I5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5" spans="1:13">
      <c r="A535" s="2"/>
      <c r="B535" s="2" t="s">
        <v>379</v>
      </c>
      <c r="C535" s="3">
        <v>44165</v>
      </c>
      <c r="D535" s="2">
        <v>249</v>
      </c>
      <c r="E535" s="2" t="s">
        <v>385</v>
      </c>
      <c r="F535" s="2" t="s">
        <v>13</v>
      </c>
      <c r="G535" s="2" t="s">
        <v>16</v>
      </c>
      <c r="H535" s="4">
        <v>30</v>
      </c>
      <c r="I53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6" spans="1:13">
      <c r="A536" s="2"/>
      <c r="B536" s="2" t="s">
        <v>380</v>
      </c>
      <c r="C536" s="3">
        <v>44165</v>
      </c>
      <c r="D536" s="2">
        <v>249</v>
      </c>
      <c r="E536" s="2" t="s">
        <v>385</v>
      </c>
      <c r="F536" s="2" t="s">
        <v>13</v>
      </c>
      <c r="G536" s="2" t="s">
        <v>16</v>
      </c>
      <c r="H536" s="4" t="e">
        <f>30/0</f>
        <v>#DIV/0!</v>
      </c>
      <c r="I53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7" spans="1:13">
      <c r="A537" s="2"/>
      <c r="B537" s="2" t="s">
        <v>380</v>
      </c>
      <c r="C537" s="3">
        <v>44165</v>
      </c>
      <c r="D537" s="2">
        <v>249</v>
      </c>
      <c r="E537" s="2" t="s">
        <v>9</v>
      </c>
      <c r="F537" s="2" t="s">
        <v>13</v>
      </c>
      <c r="G537" s="2" t="s">
        <v>16</v>
      </c>
      <c r="H537" s="4">
        <v>30</v>
      </c>
      <c r="I53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8" spans="1:13">
      <c r="A538" s="2"/>
      <c r="B538" s="2" t="s">
        <v>380</v>
      </c>
      <c r="C538" s="3">
        <v>44165</v>
      </c>
      <c r="D538" s="2">
        <v>249</v>
      </c>
      <c r="E538" s="2" t="s">
        <v>9</v>
      </c>
      <c r="F538" s="2" t="s">
        <v>13</v>
      </c>
      <c r="G538" s="2" t="s">
        <v>16</v>
      </c>
      <c r="H538" s="4">
        <v>30</v>
      </c>
      <c r="I53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39" spans="1:13">
      <c r="A539" s="2" t="s">
        <v>343</v>
      </c>
      <c r="B539" s="2" t="s">
        <v>26</v>
      </c>
      <c r="C539" s="3">
        <v>44167</v>
      </c>
      <c r="D539" s="2">
        <v>245</v>
      </c>
      <c r="E539" s="2" t="s">
        <v>385</v>
      </c>
      <c r="F539" s="2" t="s">
        <v>15</v>
      </c>
      <c r="G539" s="2" t="s">
        <v>16</v>
      </c>
      <c r="H539" s="4">
        <v>24</v>
      </c>
      <c r="I53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0" spans="1:13">
      <c r="A540" s="2" t="s">
        <v>342</v>
      </c>
      <c r="B540" s="2" t="s">
        <v>22</v>
      </c>
      <c r="C540" s="3">
        <v>44171</v>
      </c>
      <c r="D540" s="2">
        <v>244</v>
      </c>
      <c r="E540" s="2" t="s">
        <v>385</v>
      </c>
      <c r="F540" s="2" t="s">
        <v>13</v>
      </c>
      <c r="G540" s="2" t="s">
        <v>14</v>
      </c>
      <c r="H540" s="4">
        <v>30</v>
      </c>
      <c r="I54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41" spans="1:13">
      <c r="A541" s="2" t="s">
        <v>217</v>
      </c>
      <c r="B541" s="2" t="s">
        <v>88</v>
      </c>
      <c r="C541" s="3">
        <v>44203</v>
      </c>
      <c r="D541" s="2">
        <v>130</v>
      </c>
      <c r="E541" s="2" t="s">
        <v>40</v>
      </c>
      <c r="F541" s="2" t="s">
        <v>24</v>
      </c>
      <c r="G541" s="2" t="s">
        <v>19</v>
      </c>
      <c r="H541" s="4">
        <v>26</v>
      </c>
      <c r="I541" s="2" t="str">
        <f>IF(OR(Revenue[[#This Row],[City]]="Kolkata",Revenue[[#This Row],[City]]="New Delhi" ),"Rajath",
IF(OR(Revenue[[#This Row],[City]]="Bengaluru",Revenue[[#This Row],[City]]="Chennai" ),"Raman",
"Amar"))</f>
        <v>Raman</v>
      </c>
      <c r="M541" s="12" t="s">
        <v>382</v>
      </c>
    </row>
    <row r="542" spans="1:13">
      <c r="A542" s="2" t="s">
        <v>217</v>
      </c>
      <c r="B542" s="2" t="s">
        <v>88</v>
      </c>
      <c r="C542" s="3">
        <v>44203</v>
      </c>
      <c r="D542" s="2">
        <v>131</v>
      </c>
      <c r="E542" s="2" t="s">
        <v>40</v>
      </c>
      <c r="F542" s="2" t="s">
        <v>24</v>
      </c>
      <c r="G542" s="2" t="s">
        <v>19</v>
      </c>
      <c r="H542" s="4">
        <v>26</v>
      </c>
      <c r="I54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3" spans="1:13">
      <c r="A543" s="2" t="s">
        <v>89</v>
      </c>
      <c r="B543" s="2" t="s">
        <v>89</v>
      </c>
      <c r="C543" s="3">
        <v>44203</v>
      </c>
      <c r="D543" s="2">
        <v>132</v>
      </c>
      <c r="E543" s="2" t="s">
        <v>40</v>
      </c>
      <c r="F543" s="2" t="s">
        <v>24</v>
      </c>
      <c r="G543" s="2" t="s">
        <v>19</v>
      </c>
      <c r="H543" s="4">
        <v>26</v>
      </c>
      <c r="I54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4" spans="1:13">
      <c r="A544" s="2" t="s">
        <v>224</v>
      </c>
      <c r="B544" s="2" t="s">
        <v>88</v>
      </c>
      <c r="C544" s="3">
        <v>44203</v>
      </c>
      <c r="D544" s="2">
        <v>130</v>
      </c>
      <c r="E544" s="2" t="s">
        <v>40</v>
      </c>
      <c r="F544" s="2" t="s">
        <v>24</v>
      </c>
      <c r="G544" s="2" t="s">
        <v>19</v>
      </c>
      <c r="H544" s="4">
        <v>26</v>
      </c>
      <c r="I54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5" spans="1:9">
      <c r="A545" s="2" t="s">
        <v>225</v>
      </c>
      <c r="B545" s="2" t="s">
        <v>88</v>
      </c>
      <c r="C545" s="3">
        <v>44203</v>
      </c>
      <c r="D545" s="2">
        <v>131</v>
      </c>
      <c r="E545" s="2" t="s">
        <v>40</v>
      </c>
      <c r="F545" s="2" t="s">
        <v>24</v>
      </c>
      <c r="G545" s="2" t="s">
        <v>19</v>
      </c>
      <c r="H545" s="4">
        <v>26</v>
      </c>
      <c r="I54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46" spans="1:9">
      <c r="A546" s="2" t="s">
        <v>216</v>
      </c>
      <c r="B546" s="2" t="s">
        <v>88</v>
      </c>
      <c r="C546" s="3">
        <v>44206</v>
      </c>
      <c r="D546" s="2">
        <v>129</v>
      </c>
      <c r="E546" s="2" t="s">
        <v>40</v>
      </c>
      <c r="F546" s="2" t="s">
        <v>20</v>
      </c>
      <c r="G546" s="2" t="s">
        <v>16</v>
      </c>
      <c r="H546" s="4">
        <v>26</v>
      </c>
      <c r="I54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47" spans="1:9">
      <c r="A547" s="2" t="s">
        <v>223</v>
      </c>
      <c r="B547" s="2" t="s">
        <v>88</v>
      </c>
      <c r="C547" s="3">
        <v>44206</v>
      </c>
      <c r="D547" s="2">
        <v>129</v>
      </c>
      <c r="E547" s="2" t="s">
        <v>40</v>
      </c>
      <c r="F547" s="2" t="s">
        <v>20</v>
      </c>
      <c r="G547" s="2" t="s">
        <v>16</v>
      </c>
      <c r="H547" s="4">
        <v>26</v>
      </c>
      <c r="I54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48" spans="1:9">
      <c r="A548" s="2" t="s">
        <v>214</v>
      </c>
      <c r="B548" s="2" t="s">
        <v>87</v>
      </c>
      <c r="C548" s="3">
        <v>44207</v>
      </c>
      <c r="D548" s="2">
        <v>127</v>
      </c>
      <c r="E548" s="2" t="s">
        <v>40</v>
      </c>
      <c r="F548" s="2" t="s">
        <v>20</v>
      </c>
      <c r="G548" s="2" t="s">
        <v>23</v>
      </c>
      <c r="H548" s="4">
        <v>37</v>
      </c>
      <c r="I54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49" spans="1:9">
      <c r="A549" s="2" t="s">
        <v>215</v>
      </c>
      <c r="B549" s="2" t="s">
        <v>88</v>
      </c>
      <c r="C549" s="3">
        <v>44207</v>
      </c>
      <c r="D549" s="2">
        <v>128</v>
      </c>
      <c r="E549" s="2" t="s">
        <v>40</v>
      </c>
      <c r="F549" s="2" t="s">
        <v>24</v>
      </c>
      <c r="G549" s="2" t="s">
        <v>25</v>
      </c>
      <c r="H549" s="4">
        <v>8</v>
      </c>
      <c r="I54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0" spans="1:9">
      <c r="A550" s="2" t="s">
        <v>218</v>
      </c>
      <c r="B550" s="2" t="s">
        <v>87</v>
      </c>
      <c r="C550" s="3">
        <v>44207</v>
      </c>
      <c r="D550" s="2">
        <v>133</v>
      </c>
      <c r="E550" s="2" t="s">
        <v>40</v>
      </c>
      <c r="F550" s="2" t="s">
        <v>20</v>
      </c>
      <c r="G550" s="2" t="s">
        <v>23</v>
      </c>
      <c r="H550" s="4">
        <v>37</v>
      </c>
      <c r="I55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51" spans="1:9">
      <c r="A551" s="2" t="s">
        <v>219</v>
      </c>
      <c r="B551" s="2" t="s">
        <v>86</v>
      </c>
      <c r="C551" s="3">
        <v>44207</v>
      </c>
      <c r="D551" s="2">
        <v>134</v>
      </c>
      <c r="E551" s="2" t="s">
        <v>40</v>
      </c>
      <c r="F551" s="2" t="s">
        <v>20</v>
      </c>
      <c r="G551" s="2" t="s">
        <v>23</v>
      </c>
      <c r="H551" s="4">
        <v>100</v>
      </c>
      <c r="I55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52" spans="1:9">
      <c r="A552" s="2" t="s">
        <v>220</v>
      </c>
      <c r="B552" s="2" t="s">
        <v>86</v>
      </c>
      <c r="C552" s="3">
        <v>44207</v>
      </c>
      <c r="D552" s="2">
        <v>135</v>
      </c>
      <c r="E552" s="2" t="s">
        <v>40</v>
      </c>
      <c r="F552" s="2" t="s">
        <v>20</v>
      </c>
      <c r="G552" s="2" t="s">
        <v>23</v>
      </c>
      <c r="H552" s="4">
        <v>100</v>
      </c>
      <c r="I55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53" spans="1:9">
      <c r="A553" s="2" t="s">
        <v>221</v>
      </c>
      <c r="B553" s="2" t="s">
        <v>86</v>
      </c>
      <c r="C553" s="3">
        <v>44207</v>
      </c>
      <c r="D553" s="2">
        <v>136</v>
      </c>
      <c r="E553" s="2" t="s">
        <v>40</v>
      </c>
      <c r="F553" s="2" t="s">
        <v>20</v>
      </c>
      <c r="G553" s="2" t="s">
        <v>23</v>
      </c>
      <c r="H553" s="4">
        <v>37</v>
      </c>
      <c r="I55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54" spans="1:9">
      <c r="A554" s="2" t="s">
        <v>222</v>
      </c>
      <c r="B554" s="2" t="s">
        <v>88</v>
      </c>
      <c r="C554" s="3">
        <v>44207</v>
      </c>
      <c r="D554" s="2">
        <v>128</v>
      </c>
      <c r="E554" s="2" t="s">
        <v>40</v>
      </c>
      <c r="F554" s="2" t="s">
        <v>24</v>
      </c>
      <c r="G554" s="2" t="s">
        <v>25</v>
      </c>
      <c r="H554" s="4">
        <v>8</v>
      </c>
      <c r="I55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5" spans="1:9">
      <c r="A555" s="2" t="s">
        <v>218</v>
      </c>
      <c r="B555" s="2" t="s">
        <v>87</v>
      </c>
      <c r="C555" s="3">
        <v>44207</v>
      </c>
      <c r="D555" s="2">
        <v>132</v>
      </c>
      <c r="E555" s="2" t="s">
        <v>40</v>
      </c>
      <c r="F555" s="2" t="s">
        <v>24</v>
      </c>
      <c r="G555" s="2" t="s">
        <v>25</v>
      </c>
      <c r="H555" s="4">
        <v>8</v>
      </c>
      <c r="I55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6" spans="1:9">
      <c r="A556" s="2" t="s">
        <v>218</v>
      </c>
      <c r="B556" s="2" t="s">
        <v>87</v>
      </c>
      <c r="C556" s="3">
        <v>44207</v>
      </c>
      <c r="D556" s="2">
        <v>133</v>
      </c>
      <c r="E556" s="2" t="s">
        <v>40</v>
      </c>
      <c r="F556" s="2" t="s">
        <v>24</v>
      </c>
      <c r="G556" s="2" t="s">
        <v>25</v>
      </c>
      <c r="H556" s="4">
        <v>8</v>
      </c>
      <c r="I55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7" spans="1:9">
      <c r="A557" s="2" t="s">
        <v>218</v>
      </c>
      <c r="B557" s="2" t="s">
        <v>87</v>
      </c>
      <c r="C557" s="3">
        <v>44207</v>
      </c>
      <c r="D557" s="2">
        <v>134</v>
      </c>
      <c r="E557" s="2" t="s">
        <v>40</v>
      </c>
      <c r="F557" s="2" t="s">
        <v>24</v>
      </c>
      <c r="G557" s="2" t="s">
        <v>25</v>
      </c>
      <c r="H557" s="4">
        <v>8</v>
      </c>
      <c r="I55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8" spans="1:9">
      <c r="A558" s="2" t="s">
        <v>218</v>
      </c>
      <c r="B558" s="2" t="s">
        <v>87</v>
      </c>
      <c r="C558" s="3">
        <v>44207</v>
      </c>
      <c r="D558" s="2">
        <v>135</v>
      </c>
      <c r="E558" s="2" t="s">
        <v>40</v>
      </c>
      <c r="F558" s="2" t="s">
        <v>24</v>
      </c>
      <c r="G558" s="2" t="s">
        <v>25</v>
      </c>
      <c r="H558" s="4">
        <v>8</v>
      </c>
      <c r="I55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59" spans="1:9">
      <c r="A559" s="2" t="s">
        <v>218</v>
      </c>
      <c r="B559" s="2" t="s">
        <v>87</v>
      </c>
      <c r="C559" s="3">
        <v>44207</v>
      </c>
      <c r="D559" s="2">
        <v>136</v>
      </c>
      <c r="E559" s="2" t="s">
        <v>40</v>
      </c>
      <c r="F559" s="2" t="s">
        <v>24</v>
      </c>
      <c r="G559" s="2" t="s">
        <v>25</v>
      </c>
      <c r="H559" s="4">
        <v>8</v>
      </c>
      <c r="I55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0" spans="1:9">
      <c r="A560" s="2" t="s">
        <v>218</v>
      </c>
      <c r="B560" s="2" t="s">
        <v>87</v>
      </c>
      <c r="C560" s="3">
        <v>44207</v>
      </c>
      <c r="D560" s="2">
        <v>137</v>
      </c>
      <c r="E560" s="2" t="s">
        <v>40</v>
      </c>
      <c r="F560" s="2" t="s">
        <v>24</v>
      </c>
      <c r="G560" s="2" t="s">
        <v>25</v>
      </c>
      <c r="H560" s="4">
        <v>8</v>
      </c>
      <c r="I56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1" spans="1:9">
      <c r="A561" s="2" t="s">
        <v>218</v>
      </c>
      <c r="B561" s="2" t="s">
        <v>87</v>
      </c>
      <c r="C561" s="3">
        <v>44207</v>
      </c>
      <c r="D561" s="2">
        <v>138</v>
      </c>
      <c r="E561" s="2" t="s">
        <v>40</v>
      </c>
      <c r="F561" s="2" t="s">
        <v>24</v>
      </c>
      <c r="G561" s="2" t="s">
        <v>25</v>
      </c>
      <c r="H561" s="4">
        <v>8</v>
      </c>
      <c r="I56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2" spans="1:9">
      <c r="A562" s="2" t="s">
        <v>219</v>
      </c>
      <c r="B562" s="2" t="s">
        <v>87</v>
      </c>
      <c r="C562" s="3">
        <v>44207</v>
      </c>
      <c r="D562" s="2">
        <v>139</v>
      </c>
      <c r="E562" s="2" t="s">
        <v>40</v>
      </c>
      <c r="F562" s="2" t="s">
        <v>24</v>
      </c>
      <c r="G562" s="2" t="s">
        <v>25</v>
      </c>
      <c r="H562" s="4">
        <v>234</v>
      </c>
      <c r="I56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3" spans="1:9">
      <c r="A563" s="2" t="s">
        <v>211</v>
      </c>
      <c r="B563" s="2" t="s">
        <v>86</v>
      </c>
      <c r="C563" s="3">
        <v>44209</v>
      </c>
      <c r="D563" s="2">
        <v>124</v>
      </c>
      <c r="E563" s="2" t="s">
        <v>40</v>
      </c>
      <c r="F563" s="2" t="s">
        <v>13</v>
      </c>
      <c r="G563" s="2" t="s">
        <v>16</v>
      </c>
      <c r="H563" s="4">
        <v>33</v>
      </c>
      <c r="I56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64" spans="1:9">
      <c r="A564" s="2" t="s">
        <v>212</v>
      </c>
      <c r="B564" s="2" t="s">
        <v>86</v>
      </c>
      <c r="C564" s="3">
        <v>44209</v>
      </c>
      <c r="D564" s="2">
        <v>125</v>
      </c>
      <c r="E564" s="2" t="s">
        <v>40</v>
      </c>
      <c r="F564" s="2" t="s">
        <v>15</v>
      </c>
      <c r="G564" s="2" t="s">
        <v>19</v>
      </c>
      <c r="H564" s="4">
        <v>21</v>
      </c>
      <c r="I56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5" spans="1:9">
      <c r="A565" s="2" t="s">
        <v>213</v>
      </c>
      <c r="B565" s="2" t="s">
        <v>87</v>
      </c>
      <c r="C565" s="3">
        <v>44209</v>
      </c>
      <c r="D565" s="2">
        <v>126</v>
      </c>
      <c r="E565" s="2" t="s">
        <v>40</v>
      </c>
      <c r="F565" s="2" t="s">
        <v>18</v>
      </c>
      <c r="G565" s="2" t="s">
        <v>21</v>
      </c>
      <c r="H565" s="4">
        <v>25</v>
      </c>
      <c r="I56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66" spans="1:9">
      <c r="A566" s="2" t="s">
        <v>210</v>
      </c>
      <c r="B566" s="2" t="s">
        <v>86</v>
      </c>
      <c r="C566" s="3">
        <v>44211</v>
      </c>
      <c r="D566" s="2">
        <v>123</v>
      </c>
      <c r="E566" s="2" t="s">
        <v>40</v>
      </c>
      <c r="F566" s="2" t="s">
        <v>10</v>
      </c>
      <c r="G566" s="2" t="s">
        <v>14</v>
      </c>
      <c r="H566" s="4">
        <v>10</v>
      </c>
      <c r="I56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67" spans="1:9">
      <c r="A567" s="2" t="s">
        <v>209</v>
      </c>
      <c r="B567" s="2" t="s">
        <v>85</v>
      </c>
      <c r="C567" s="3">
        <v>44212</v>
      </c>
      <c r="D567" s="2">
        <v>122</v>
      </c>
      <c r="E567" s="2" t="s">
        <v>40</v>
      </c>
      <c r="F567" s="2" t="s">
        <v>30</v>
      </c>
      <c r="G567" s="2" t="s">
        <v>11</v>
      </c>
      <c r="H567" s="4">
        <v>8</v>
      </c>
      <c r="I56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68" spans="1:9">
      <c r="A568" s="2" t="s">
        <v>208</v>
      </c>
      <c r="B568" s="2" t="s">
        <v>85</v>
      </c>
      <c r="C568" s="3">
        <v>44217</v>
      </c>
      <c r="D568" s="2">
        <v>121</v>
      </c>
      <c r="E568" s="2" t="s">
        <v>40</v>
      </c>
      <c r="F568" s="2" t="s">
        <v>24</v>
      </c>
      <c r="G568" s="2" t="s">
        <v>25</v>
      </c>
      <c r="H568" s="4">
        <v>17</v>
      </c>
      <c r="I56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69" spans="1:9">
      <c r="A569" s="2" t="s">
        <v>207</v>
      </c>
      <c r="B569" s="2" t="s">
        <v>84</v>
      </c>
      <c r="C569" s="3">
        <v>44218</v>
      </c>
      <c r="D569" s="2">
        <v>120</v>
      </c>
      <c r="E569" s="2" t="s">
        <v>40</v>
      </c>
      <c r="F569" s="2" t="s">
        <v>20</v>
      </c>
      <c r="G569" s="2" t="s">
        <v>23</v>
      </c>
      <c r="H569" s="4">
        <v>30</v>
      </c>
      <c r="I56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0" spans="1:9">
      <c r="A570" s="2" t="s">
        <v>206</v>
      </c>
      <c r="B570" s="2" t="s">
        <v>84</v>
      </c>
      <c r="C570" s="3">
        <v>44225</v>
      </c>
      <c r="D570" s="2">
        <v>119</v>
      </c>
      <c r="E570" s="2" t="s">
        <v>40</v>
      </c>
      <c r="F570" s="2" t="s">
        <v>18</v>
      </c>
      <c r="G570" s="2" t="s">
        <v>21</v>
      </c>
      <c r="H570" s="4">
        <v>24</v>
      </c>
      <c r="I57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1" spans="1:9">
      <c r="A571" s="2" t="s">
        <v>205</v>
      </c>
      <c r="B571" s="2" t="s">
        <v>83</v>
      </c>
      <c r="C571" s="3">
        <v>44227</v>
      </c>
      <c r="D571" s="2">
        <v>118</v>
      </c>
      <c r="E571" s="2" t="s">
        <v>40</v>
      </c>
      <c r="F571" s="2" t="s">
        <v>15</v>
      </c>
      <c r="G571" s="2" t="s">
        <v>19</v>
      </c>
      <c r="H571" s="4">
        <v>31</v>
      </c>
      <c r="I57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72" spans="1:9">
      <c r="A572" s="2" t="s">
        <v>204</v>
      </c>
      <c r="B572" s="2" t="s">
        <v>83</v>
      </c>
      <c r="C572" s="3">
        <v>44228</v>
      </c>
      <c r="D572" s="2">
        <v>117</v>
      </c>
      <c r="E572" s="2" t="s">
        <v>9</v>
      </c>
      <c r="F572" s="2" t="s">
        <v>13</v>
      </c>
      <c r="G572" s="2" t="s">
        <v>16</v>
      </c>
      <c r="H572" s="4">
        <v>30</v>
      </c>
      <c r="I57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73" spans="1:9">
      <c r="A573" s="2" t="s">
        <v>203</v>
      </c>
      <c r="B573" s="2" t="s">
        <v>82</v>
      </c>
      <c r="C573" s="3">
        <v>44229</v>
      </c>
      <c r="D573" s="2">
        <v>116</v>
      </c>
      <c r="E573" s="2" t="s">
        <v>9</v>
      </c>
      <c r="F573" s="2" t="s">
        <v>10</v>
      </c>
      <c r="G573" s="2" t="s">
        <v>14</v>
      </c>
      <c r="H573" s="4">
        <v>15</v>
      </c>
      <c r="I57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74" spans="1:9">
      <c r="A574" s="2" t="s">
        <v>202</v>
      </c>
      <c r="B574" s="2" t="s">
        <v>82</v>
      </c>
      <c r="C574" s="3">
        <v>44230</v>
      </c>
      <c r="D574" s="2">
        <v>115</v>
      </c>
      <c r="E574" s="2" t="s">
        <v>9</v>
      </c>
      <c r="F574" s="2" t="s">
        <v>30</v>
      </c>
      <c r="G574" s="2" t="s">
        <v>11</v>
      </c>
      <c r="H574" s="4">
        <v>19</v>
      </c>
      <c r="I57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5" spans="1:9">
      <c r="A575" s="2" t="s">
        <v>201</v>
      </c>
      <c r="B575" s="2" t="s">
        <v>81</v>
      </c>
      <c r="C575" s="3">
        <v>44236</v>
      </c>
      <c r="D575" s="2">
        <v>114</v>
      </c>
      <c r="E575" s="2" t="s">
        <v>9</v>
      </c>
      <c r="F575" s="2" t="s">
        <v>24</v>
      </c>
      <c r="G575" s="2" t="s">
        <v>25</v>
      </c>
      <c r="H575" s="4">
        <v>40</v>
      </c>
      <c r="I57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76" spans="1:9">
      <c r="A576" s="2" t="s">
        <v>200</v>
      </c>
      <c r="B576" s="2" t="s">
        <v>81</v>
      </c>
      <c r="C576" s="3">
        <v>44238</v>
      </c>
      <c r="D576" s="2">
        <v>113</v>
      </c>
      <c r="E576" s="2" t="s">
        <v>9</v>
      </c>
      <c r="F576" s="2" t="s">
        <v>20</v>
      </c>
      <c r="G576" s="2" t="s">
        <v>23</v>
      </c>
      <c r="H576" s="4">
        <v>21</v>
      </c>
      <c r="I57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7" spans="1:9">
      <c r="A577" s="2" t="s">
        <v>199</v>
      </c>
      <c r="B577" s="2" t="s">
        <v>80</v>
      </c>
      <c r="C577" s="3">
        <v>44241</v>
      </c>
      <c r="D577" s="2">
        <v>111</v>
      </c>
      <c r="E577" s="2" t="s">
        <v>9</v>
      </c>
      <c r="F577" s="2" t="s">
        <v>18</v>
      </c>
      <c r="G577" s="2" t="s">
        <v>19</v>
      </c>
      <c r="H577" s="4">
        <v>28</v>
      </c>
      <c r="I57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78" spans="1:9">
      <c r="A578" s="2" t="s">
        <v>199</v>
      </c>
      <c r="B578" s="2" t="s">
        <v>80</v>
      </c>
      <c r="C578" s="3">
        <v>44241</v>
      </c>
      <c r="D578" s="2">
        <v>112</v>
      </c>
      <c r="E578" s="2" t="s">
        <v>9</v>
      </c>
      <c r="F578" s="2" t="s">
        <v>13</v>
      </c>
      <c r="G578" s="2" t="s">
        <v>21</v>
      </c>
      <c r="H578" s="4">
        <v>25</v>
      </c>
      <c r="I57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79" spans="1:9">
      <c r="A579" s="2" t="s">
        <v>198</v>
      </c>
      <c r="B579" s="2" t="s">
        <v>79</v>
      </c>
      <c r="C579" s="3">
        <v>44245</v>
      </c>
      <c r="D579" s="2">
        <v>110</v>
      </c>
      <c r="E579" s="2" t="s">
        <v>9</v>
      </c>
      <c r="F579" s="2" t="s">
        <v>15</v>
      </c>
      <c r="G579" s="2" t="s">
        <v>16</v>
      </c>
      <c r="H579" s="4">
        <v>15</v>
      </c>
      <c r="I57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80" spans="1:9">
      <c r="A580" s="2" t="s">
        <v>197</v>
      </c>
      <c r="B580" s="2" t="s">
        <v>79</v>
      </c>
      <c r="C580" s="3">
        <v>44247</v>
      </c>
      <c r="D580" s="2">
        <v>109</v>
      </c>
      <c r="E580" s="2" t="s">
        <v>9</v>
      </c>
      <c r="F580" s="2" t="s">
        <v>13</v>
      </c>
      <c r="G580" s="2" t="s">
        <v>14</v>
      </c>
      <c r="H580" s="4">
        <v>27</v>
      </c>
      <c r="I58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81" spans="1:9">
      <c r="A581" s="2" t="s">
        <v>196</v>
      </c>
      <c r="B581" s="2" t="s">
        <v>78</v>
      </c>
      <c r="C581" s="3">
        <v>44249</v>
      </c>
      <c r="D581" s="2">
        <v>108</v>
      </c>
      <c r="E581" s="2" t="s">
        <v>9</v>
      </c>
      <c r="F581" s="2" t="s">
        <v>10</v>
      </c>
      <c r="G581" s="2" t="s">
        <v>11</v>
      </c>
      <c r="H581" s="4">
        <v>19</v>
      </c>
      <c r="I58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82" spans="1:9">
      <c r="A582" s="2" t="s">
        <v>194</v>
      </c>
      <c r="B582" s="2" t="s">
        <v>77</v>
      </c>
      <c r="C582" s="3">
        <v>44258</v>
      </c>
      <c r="D582" s="2">
        <v>106</v>
      </c>
      <c r="E582" s="2" t="s">
        <v>9</v>
      </c>
      <c r="F582" s="2" t="s">
        <v>20</v>
      </c>
      <c r="G582" s="2" t="s">
        <v>23</v>
      </c>
      <c r="H582" s="4">
        <v>21</v>
      </c>
      <c r="I58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83" spans="1:9">
      <c r="A583" s="2" t="s">
        <v>195</v>
      </c>
      <c r="B583" s="2" t="s">
        <v>78</v>
      </c>
      <c r="C583" s="3">
        <v>44258</v>
      </c>
      <c r="D583" s="2">
        <v>107</v>
      </c>
      <c r="E583" s="2" t="s">
        <v>9</v>
      </c>
      <c r="F583" s="2" t="s">
        <v>24</v>
      </c>
      <c r="G583" s="2" t="s">
        <v>25</v>
      </c>
      <c r="H583" s="4">
        <v>9</v>
      </c>
      <c r="I58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84" spans="1:9">
      <c r="A584" s="2" t="s">
        <v>193</v>
      </c>
      <c r="B584" s="2" t="s">
        <v>77</v>
      </c>
      <c r="C584" s="3">
        <v>44259</v>
      </c>
      <c r="D584" s="2">
        <v>105</v>
      </c>
      <c r="E584" s="2" t="s">
        <v>9</v>
      </c>
      <c r="F584" s="2" t="s">
        <v>18</v>
      </c>
      <c r="G584" s="2" t="s">
        <v>21</v>
      </c>
      <c r="H584" s="4">
        <v>33</v>
      </c>
      <c r="I58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85" spans="1:9">
      <c r="A585" s="2" t="s">
        <v>192</v>
      </c>
      <c r="B585" s="2" t="s">
        <v>76</v>
      </c>
      <c r="C585" s="3">
        <v>44263</v>
      </c>
      <c r="D585" s="2">
        <v>104</v>
      </c>
      <c r="E585" s="2" t="s">
        <v>9</v>
      </c>
      <c r="F585" s="2" t="s">
        <v>15</v>
      </c>
      <c r="G585" s="2" t="s">
        <v>19</v>
      </c>
      <c r="H585" s="4">
        <v>33</v>
      </c>
      <c r="I58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86" spans="1:9">
      <c r="A586" s="2" t="s">
        <v>191</v>
      </c>
      <c r="B586" s="2" t="s">
        <v>76</v>
      </c>
      <c r="C586" s="3">
        <v>44264</v>
      </c>
      <c r="D586" s="2">
        <v>103</v>
      </c>
      <c r="E586" s="2" t="s">
        <v>9</v>
      </c>
      <c r="F586" s="2" t="s">
        <v>13</v>
      </c>
      <c r="G586" s="2" t="s">
        <v>16</v>
      </c>
      <c r="H586" s="4">
        <v>19</v>
      </c>
      <c r="I58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87" spans="1:9">
      <c r="A587" s="2" t="s">
        <v>190</v>
      </c>
      <c r="B587" s="2" t="s">
        <v>75</v>
      </c>
      <c r="C587" s="3">
        <v>44276</v>
      </c>
      <c r="D587" s="2">
        <v>102</v>
      </c>
      <c r="E587" s="2" t="s">
        <v>9</v>
      </c>
      <c r="F587" s="2" t="s">
        <v>10</v>
      </c>
      <c r="G587" s="2" t="s">
        <v>14</v>
      </c>
      <c r="H587" s="4">
        <v>20</v>
      </c>
      <c r="I58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88" spans="1:9">
      <c r="A588" s="2" t="s">
        <v>188</v>
      </c>
      <c r="B588" s="2" t="s">
        <v>74</v>
      </c>
      <c r="C588" s="3">
        <v>44277</v>
      </c>
      <c r="D588" s="2">
        <v>100</v>
      </c>
      <c r="E588" s="2" t="s">
        <v>9</v>
      </c>
      <c r="F588" s="2" t="s">
        <v>24</v>
      </c>
      <c r="G588" s="2" t="s">
        <v>25</v>
      </c>
      <c r="H588" s="4">
        <v>34</v>
      </c>
      <c r="I58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89" spans="1:9">
      <c r="A589" s="2" t="s">
        <v>189</v>
      </c>
      <c r="B589" s="2" t="s">
        <v>75</v>
      </c>
      <c r="C589" s="3">
        <v>44277</v>
      </c>
      <c r="D589" s="2">
        <v>101</v>
      </c>
      <c r="E589" s="2" t="s">
        <v>9</v>
      </c>
      <c r="F589" s="2" t="s">
        <v>30</v>
      </c>
      <c r="G589" s="2" t="s">
        <v>11</v>
      </c>
      <c r="H589" s="4">
        <v>11</v>
      </c>
      <c r="I58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0" spans="1:9">
      <c r="A590" s="2" t="s">
        <v>187</v>
      </c>
      <c r="B590" s="2" t="s">
        <v>74</v>
      </c>
      <c r="C590" s="3">
        <v>44280</v>
      </c>
      <c r="D590" s="2">
        <v>99</v>
      </c>
      <c r="E590" s="2" t="s">
        <v>33</v>
      </c>
      <c r="F590" s="2" t="s">
        <v>20</v>
      </c>
      <c r="G590" s="2" t="s">
        <v>23</v>
      </c>
      <c r="H590" s="4">
        <v>39</v>
      </c>
      <c r="I59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1" spans="1:9">
      <c r="A591" s="2" t="s">
        <v>186</v>
      </c>
      <c r="B591" s="2" t="s">
        <v>73</v>
      </c>
      <c r="C591" s="3">
        <v>44281</v>
      </c>
      <c r="D591" s="2">
        <v>98</v>
      </c>
      <c r="E591" s="2" t="s">
        <v>33</v>
      </c>
      <c r="F591" s="2" t="s">
        <v>18</v>
      </c>
      <c r="G591" s="2" t="s">
        <v>21</v>
      </c>
      <c r="H591" s="4">
        <v>23</v>
      </c>
      <c r="I59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2" spans="1:9">
      <c r="A592" s="2" t="s">
        <v>185</v>
      </c>
      <c r="B592" s="2" t="s">
        <v>73</v>
      </c>
      <c r="C592" s="3">
        <v>44289</v>
      </c>
      <c r="D592" s="2">
        <v>97</v>
      </c>
      <c r="E592" s="2" t="s">
        <v>33</v>
      </c>
      <c r="F592" s="2" t="s">
        <v>15</v>
      </c>
      <c r="G592" s="2" t="s">
        <v>19</v>
      </c>
      <c r="H592" s="4">
        <v>25</v>
      </c>
      <c r="I59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93" spans="1:9">
      <c r="A593" s="2" t="s">
        <v>184</v>
      </c>
      <c r="B593" s="2" t="s">
        <v>72</v>
      </c>
      <c r="C593" s="3">
        <v>44290</v>
      </c>
      <c r="D593" s="2">
        <v>96</v>
      </c>
      <c r="E593" s="2" t="s">
        <v>33</v>
      </c>
      <c r="F593" s="2" t="s">
        <v>13</v>
      </c>
      <c r="G593" s="2" t="s">
        <v>16</v>
      </c>
      <c r="H593" s="4">
        <v>19</v>
      </c>
      <c r="I59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94" spans="1:9">
      <c r="A594" s="2" t="s">
        <v>183</v>
      </c>
      <c r="B594" s="2" t="s">
        <v>72</v>
      </c>
      <c r="C594" s="3">
        <v>44294</v>
      </c>
      <c r="D594" s="2">
        <v>95</v>
      </c>
      <c r="E594" s="2" t="s">
        <v>33</v>
      </c>
      <c r="F594" s="2" t="s">
        <v>10</v>
      </c>
      <c r="G594" s="2" t="s">
        <v>14</v>
      </c>
      <c r="H594" s="4">
        <v>10</v>
      </c>
      <c r="I59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595" spans="1:9">
      <c r="A595" s="2" t="s">
        <v>182</v>
      </c>
      <c r="B595" s="2" t="s">
        <v>71</v>
      </c>
      <c r="C595" s="3">
        <v>44295</v>
      </c>
      <c r="D595" s="2">
        <v>94</v>
      </c>
      <c r="E595" s="2" t="s">
        <v>33</v>
      </c>
      <c r="F595" s="2" t="s">
        <v>30</v>
      </c>
      <c r="G595" s="2" t="s">
        <v>11</v>
      </c>
      <c r="H595" s="4">
        <v>11</v>
      </c>
      <c r="I59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6" spans="1:9">
      <c r="A596" s="2" t="s">
        <v>181</v>
      </c>
      <c r="B596" s="2" t="s">
        <v>71</v>
      </c>
      <c r="C596" s="3">
        <v>44300</v>
      </c>
      <c r="D596" s="2">
        <v>93</v>
      </c>
      <c r="E596" s="2" t="s">
        <v>33</v>
      </c>
      <c r="F596" s="2" t="s">
        <v>24</v>
      </c>
      <c r="G596" s="2" t="s">
        <v>23</v>
      </c>
      <c r="H596" s="4">
        <v>18</v>
      </c>
      <c r="I59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597" spans="1:9">
      <c r="A597" s="2" t="s">
        <v>180</v>
      </c>
      <c r="B597" s="2" t="s">
        <v>70</v>
      </c>
      <c r="C597" s="3">
        <v>44301</v>
      </c>
      <c r="D597" s="2">
        <v>92</v>
      </c>
      <c r="E597" s="2" t="s">
        <v>33</v>
      </c>
      <c r="F597" s="2" t="s">
        <v>20</v>
      </c>
      <c r="G597" s="2" t="s">
        <v>21</v>
      </c>
      <c r="H597" s="4">
        <v>35</v>
      </c>
      <c r="I59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8" spans="1:9">
      <c r="A598" s="2" t="s">
        <v>179</v>
      </c>
      <c r="B598" s="2" t="s">
        <v>70</v>
      </c>
      <c r="C598" s="3">
        <v>44303</v>
      </c>
      <c r="D598" s="2">
        <v>91</v>
      </c>
      <c r="E598" s="2" t="s">
        <v>33</v>
      </c>
      <c r="F598" s="2" t="s">
        <v>18</v>
      </c>
      <c r="G598" s="2" t="s">
        <v>19</v>
      </c>
      <c r="H598" s="4">
        <v>36</v>
      </c>
      <c r="I59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599" spans="1:9">
      <c r="A599" s="2" t="s">
        <v>178</v>
      </c>
      <c r="B599" s="2" t="s">
        <v>69</v>
      </c>
      <c r="C599" s="3">
        <v>44310</v>
      </c>
      <c r="D599" s="2">
        <v>90</v>
      </c>
      <c r="E599" s="2" t="s">
        <v>33</v>
      </c>
      <c r="F599" s="2" t="s">
        <v>15</v>
      </c>
      <c r="G599" s="2" t="s">
        <v>16</v>
      </c>
      <c r="H599" s="4">
        <v>31</v>
      </c>
      <c r="I59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00" spans="1:9">
      <c r="A600" s="2" t="s">
        <v>177</v>
      </c>
      <c r="B600" s="2" t="s">
        <v>69</v>
      </c>
      <c r="C600" s="3">
        <v>44311</v>
      </c>
      <c r="D600" s="2">
        <v>89</v>
      </c>
      <c r="E600" s="2" t="s">
        <v>33</v>
      </c>
      <c r="F600" s="2" t="s">
        <v>13</v>
      </c>
      <c r="G600" s="2" t="s">
        <v>14</v>
      </c>
      <c r="H600" s="4">
        <v>11</v>
      </c>
      <c r="I60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01" spans="1:9">
      <c r="A601" s="2" t="s">
        <v>176</v>
      </c>
      <c r="B601" s="2" t="s">
        <v>68</v>
      </c>
      <c r="C601" s="3">
        <v>44312</v>
      </c>
      <c r="D601" s="2">
        <v>88</v>
      </c>
      <c r="E601" s="2" t="s">
        <v>33</v>
      </c>
      <c r="F601" s="2" t="s">
        <v>10</v>
      </c>
      <c r="G601" s="2" t="s">
        <v>11</v>
      </c>
      <c r="H601" s="4">
        <v>20</v>
      </c>
      <c r="I60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02" spans="1:9">
      <c r="A602" s="2" t="s">
        <v>175</v>
      </c>
      <c r="B602" s="2" t="s">
        <v>68</v>
      </c>
      <c r="C602" s="3">
        <v>44313</v>
      </c>
      <c r="D602" s="2">
        <v>87</v>
      </c>
      <c r="E602" s="2" t="s">
        <v>33</v>
      </c>
      <c r="F602" s="2" t="s">
        <v>24</v>
      </c>
      <c r="G602" s="2" t="s">
        <v>23</v>
      </c>
      <c r="H602" s="4">
        <v>29</v>
      </c>
      <c r="I60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03" spans="1:9">
      <c r="A603" s="2" t="s">
        <v>174</v>
      </c>
      <c r="B603" s="2" t="s">
        <v>67</v>
      </c>
      <c r="C603" s="3">
        <v>44320</v>
      </c>
      <c r="D603" s="2">
        <v>86</v>
      </c>
      <c r="E603" s="2" t="s">
        <v>33</v>
      </c>
      <c r="F603" s="2" t="s">
        <v>20</v>
      </c>
      <c r="G603" s="2" t="s">
        <v>21</v>
      </c>
      <c r="H603" s="4">
        <v>15</v>
      </c>
      <c r="I60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04" spans="1:9">
      <c r="A604" s="2" t="s">
        <v>173</v>
      </c>
      <c r="B604" s="2" t="s">
        <v>67</v>
      </c>
      <c r="C604" s="3">
        <v>44324</v>
      </c>
      <c r="D604" s="2">
        <v>85</v>
      </c>
      <c r="E604" s="2" t="s">
        <v>33</v>
      </c>
      <c r="F604" s="2" t="s">
        <v>18</v>
      </c>
      <c r="G604" s="2" t="s">
        <v>19</v>
      </c>
      <c r="H604" s="4">
        <v>15</v>
      </c>
      <c r="I60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05" spans="1:9">
      <c r="A605" s="2" t="s">
        <v>172</v>
      </c>
      <c r="B605" s="2" t="s">
        <v>66</v>
      </c>
      <c r="C605" s="3">
        <v>44325</v>
      </c>
      <c r="D605" s="2">
        <v>84</v>
      </c>
      <c r="E605" s="2" t="s">
        <v>33</v>
      </c>
      <c r="F605" s="2" t="s">
        <v>15</v>
      </c>
      <c r="G605" s="2" t="s">
        <v>16</v>
      </c>
      <c r="H605" s="4">
        <v>12</v>
      </c>
      <c r="I60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06" spans="1:9">
      <c r="A606" s="2" t="s">
        <v>171</v>
      </c>
      <c r="B606" s="2" t="s">
        <v>66</v>
      </c>
      <c r="C606" s="3">
        <v>44330</v>
      </c>
      <c r="D606" s="2">
        <v>83</v>
      </c>
      <c r="E606" s="2" t="s">
        <v>33</v>
      </c>
      <c r="F606" s="2" t="s">
        <v>13</v>
      </c>
      <c r="G606" s="2" t="s">
        <v>14</v>
      </c>
      <c r="H606" s="4">
        <v>21</v>
      </c>
      <c r="I60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07" spans="1:9">
      <c r="A607" s="2" t="s">
        <v>168</v>
      </c>
      <c r="B607" s="2" t="s">
        <v>64</v>
      </c>
      <c r="C607" s="3">
        <v>44331</v>
      </c>
      <c r="D607" s="2">
        <v>80</v>
      </c>
      <c r="E607" s="2" t="s">
        <v>33</v>
      </c>
      <c r="F607" s="2" t="s">
        <v>24</v>
      </c>
      <c r="G607" s="2" t="s">
        <v>21</v>
      </c>
      <c r="H607" s="4">
        <v>22</v>
      </c>
      <c r="I60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08" spans="1:9">
      <c r="A608" s="2" t="s">
        <v>169</v>
      </c>
      <c r="B608" s="2" t="s">
        <v>65</v>
      </c>
      <c r="C608" s="3">
        <v>44331</v>
      </c>
      <c r="D608" s="2">
        <v>81</v>
      </c>
      <c r="E608" s="2" t="s">
        <v>33</v>
      </c>
      <c r="F608" s="2" t="s">
        <v>30</v>
      </c>
      <c r="G608" s="2" t="s">
        <v>23</v>
      </c>
      <c r="H608" s="4">
        <v>27</v>
      </c>
      <c r="I60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09" spans="1:9">
      <c r="A609" s="2" t="s">
        <v>170</v>
      </c>
      <c r="B609" s="2" t="s">
        <v>65</v>
      </c>
      <c r="C609" s="3">
        <v>44331</v>
      </c>
      <c r="D609" s="2">
        <v>82</v>
      </c>
      <c r="E609" s="2" t="s">
        <v>33</v>
      </c>
      <c r="F609" s="2" t="s">
        <v>10</v>
      </c>
      <c r="G609" s="2" t="s">
        <v>11</v>
      </c>
      <c r="H609" s="4">
        <v>11</v>
      </c>
      <c r="I60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10" spans="1:9">
      <c r="A610" s="2" t="s">
        <v>167</v>
      </c>
      <c r="B610" s="2" t="s">
        <v>64</v>
      </c>
      <c r="C610" s="3">
        <v>44332</v>
      </c>
      <c r="D610" s="2">
        <v>79</v>
      </c>
      <c r="E610" s="2" t="s">
        <v>33</v>
      </c>
      <c r="F610" s="2" t="s">
        <v>20</v>
      </c>
      <c r="G610" s="2" t="s">
        <v>19</v>
      </c>
      <c r="H610" s="4">
        <v>13</v>
      </c>
      <c r="I61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11" spans="1:9">
      <c r="A611" s="2" t="s">
        <v>166</v>
      </c>
      <c r="B611" s="2" t="s">
        <v>63</v>
      </c>
      <c r="C611" s="3">
        <v>44333</v>
      </c>
      <c r="D611" s="2">
        <v>78</v>
      </c>
      <c r="E611" s="2" t="s">
        <v>33</v>
      </c>
      <c r="F611" s="2" t="s">
        <v>18</v>
      </c>
      <c r="G611" s="2" t="s">
        <v>16</v>
      </c>
      <c r="H611" s="4">
        <v>37</v>
      </c>
      <c r="I61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12" spans="1:9">
      <c r="A612" s="2" t="s">
        <v>165</v>
      </c>
      <c r="B612" s="2" t="s">
        <v>63</v>
      </c>
      <c r="C612" s="3">
        <v>44334</v>
      </c>
      <c r="D612" s="2">
        <v>77</v>
      </c>
      <c r="E612" s="2" t="s">
        <v>33</v>
      </c>
      <c r="F612" s="2" t="s">
        <v>15</v>
      </c>
      <c r="G612" s="2" t="s">
        <v>14</v>
      </c>
      <c r="H612" s="4">
        <v>35</v>
      </c>
      <c r="I61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13" spans="1:9">
      <c r="A613" s="2" t="s">
        <v>164</v>
      </c>
      <c r="B613" s="2" t="s">
        <v>62</v>
      </c>
      <c r="C613" s="3">
        <v>44336</v>
      </c>
      <c r="D613" s="2">
        <v>76</v>
      </c>
      <c r="E613" s="2" t="s">
        <v>33</v>
      </c>
      <c r="F613" s="2" t="s">
        <v>13</v>
      </c>
      <c r="G613" s="2" t="s">
        <v>11</v>
      </c>
      <c r="H613" s="4">
        <v>21</v>
      </c>
      <c r="I61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14" spans="1:9">
      <c r="A614" s="2" t="s">
        <v>163</v>
      </c>
      <c r="B614" s="2" t="s">
        <v>62</v>
      </c>
      <c r="C614" s="3">
        <v>44339</v>
      </c>
      <c r="D614" s="2">
        <v>75</v>
      </c>
      <c r="E614" s="2" t="s">
        <v>33</v>
      </c>
      <c r="F614" s="2" t="s">
        <v>10</v>
      </c>
      <c r="G614" s="2" t="s">
        <v>21</v>
      </c>
      <c r="H614" s="4">
        <v>27</v>
      </c>
      <c r="I6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15" spans="1:9">
      <c r="A615" s="2" t="s">
        <v>162</v>
      </c>
      <c r="B615" s="2" t="s">
        <v>61</v>
      </c>
      <c r="C615" s="3">
        <v>44340</v>
      </c>
      <c r="D615" s="2">
        <v>74</v>
      </c>
      <c r="E615" s="2" t="s">
        <v>33</v>
      </c>
      <c r="F615" s="2" t="s">
        <v>30</v>
      </c>
      <c r="G615" s="2" t="s">
        <v>19</v>
      </c>
      <c r="H615" s="4">
        <v>9</v>
      </c>
      <c r="I61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16" spans="1:9">
      <c r="A616" s="2" t="s">
        <v>159</v>
      </c>
      <c r="B616" s="2" t="s">
        <v>60</v>
      </c>
      <c r="C616" s="3">
        <v>44341</v>
      </c>
      <c r="D616" s="2">
        <v>71</v>
      </c>
      <c r="E616" s="2" t="s">
        <v>40</v>
      </c>
      <c r="F616" s="2" t="s">
        <v>18</v>
      </c>
      <c r="G616" s="2" t="s">
        <v>11</v>
      </c>
      <c r="H616" s="4">
        <v>39</v>
      </c>
      <c r="I616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17" spans="1:9">
      <c r="A617" s="2" t="s">
        <v>160</v>
      </c>
      <c r="B617" s="2" t="s">
        <v>60</v>
      </c>
      <c r="C617" s="3">
        <v>44341</v>
      </c>
      <c r="D617" s="2">
        <v>72</v>
      </c>
      <c r="E617" s="2" t="s">
        <v>40</v>
      </c>
      <c r="F617" s="2" t="s">
        <v>20</v>
      </c>
      <c r="G617" s="2" t="s">
        <v>14</v>
      </c>
      <c r="H617" s="4">
        <v>15</v>
      </c>
      <c r="I61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18" spans="1:9">
      <c r="A618" s="2" t="s">
        <v>161</v>
      </c>
      <c r="B618" s="2" t="s">
        <v>61</v>
      </c>
      <c r="C618" s="3">
        <v>44341</v>
      </c>
      <c r="D618" s="2">
        <v>73</v>
      </c>
      <c r="E618" s="2" t="s">
        <v>33</v>
      </c>
      <c r="F618" s="2" t="s">
        <v>24</v>
      </c>
      <c r="G618" s="2" t="s">
        <v>16</v>
      </c>
      <c r="H618" s="4">
        <v>28</v>
      </c>
      <c r="I61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19" spans="1:9">
      <c r="A619" s="2" t="s">
        <v>158</v>
      </c>
      <c r="B619" s="2" t="s">
        <v>59</v>
      </c>
      <c r="C619" s="3">
        <v>44348</v>
      </c>
      <c r="D619" s="2">
        <v>70</v>
      </c>
      <c r="E619" s="2" t="s">
        <v>40</v>
      </c>
      <c r="F619" s="2" t="s">
        <v>15</v>
      </c>
      <c r="G619" s="2" t="s">
        <v>23</v>
      </c>
      <c r="H619" s="4">
        <v>33</v>
      </c>
      <c r="I61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20" spans="1:9">
      <c r="A620" s="2" t="s">
        <v>157</v>
      </c>
      <c r="B620" s="2" t="s">
        <v>59</v>
      </c>
      <c r="C620" s="3">
        <v>44349</v>
      </c>
      <c r="D620" s="2">
        <v>69</v>
      </c>
      <c r="E620" s="2" t="s">
        <v>40</v>
      </c>
      <c r="F620" s="2" t="s">
        <v>13</v>
      </c>
      <c r="G620" s="2" t="s">
        <v>21</v>
      </c>
      <c r="H620" s="4">
        <v>19</v>
      </c>
      <c r="I62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21" spans="1:9">
      <c r="A621" s="2" t="s">
        <v>156</v>
      </c>
      <c r="B621" s="2" t="s">
        <v>58</v>
      </c>
      <c r="C621" s="3">
        <v>44352</v>
      </c>
      <c r="D621" s="2">
        <v>68</v>
      </c>
      <c r="E621" s="2" t="s">
        <v>40</v>
      </c>
      <c r="F621" s="2" t="s">
        <v>10</v>
      </c>
      <c r="G621" s="2" t="s">
        <v>19</v>
      </c>
      <c r="H621" s="4">
        <v>31</v>
      </c>
      <c r="I62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22" spans="1:9">
      <c r="A622" s="2" t="s">
        <v>155</v>
      </c>
      <c r="B622" s="2" t="s">
        <v>58</v>
      </c>
      <c r="C622" s="3">
        <v>44357</v>
      </c>
      <c r="D622" s="2">
        <v>67</v>
      </c>
      <c r="E622" s="2" t="s">
        <v>9</v>
      </c>
      <c r="F622" s="2" t="s">
        <v>24</v>
      </c>
      <c r="G622" s="2" t="s">
        <v>16</v>
      </c>
      <c r="H622" s="4">
        <v>11</v>
      </c>
      <c r="I62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23" spans="1:9">
      <c r="A623" s="2" t="s">
        <v>154</v>
      </c>
      <c r="B623" s="2" t="s">
        <v>57</v>
      </c>
      <c r="C623" s="3">
        <v>44362</v>
      </c>
      <c r="D623" s="2">
        <v>66</v>
      </c>
      <c r="E623" s="2" t="s">
        <v>9</v>
      </c>
      <c r="F623" s="2" t="s">
        <v>20</v>
      </c>
      <c r="G623" s="2" t="s">
        <v>14</v>
      </c>
      <c r="H623" s="4">
        <v>37</v>
      </c>
      <c r="I62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24" spans="1:9">
      <c r="A624" s="2" t="s">
        <v>152</v>
      </c>
      <c r="B624" s="2" t="s">
        <v>56</v>
      </c>
      <c r="C624" s="3">
        <v>44364</v>
      </c>
      <c r="D624" s="2">
        <v>64</v>
      </c>
      <c r="E624" s="2" t="s">
        <v>9</v>
      </c>
      <c r="F624" s="2" t="s">
        <v>15</v>
      </c>
      <c r="G624" s="2" t="s">
        <v>19</v>
      </c>
      <c r="H624" s="4">
        <v>30</v>
      </c>
      <c r="I62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25" spans="1:9">
      <c r="A625" s="2" t="s">
        <v>153</v>
      </c>
      <c r="B625" s="2" t="s">
        <v>57</v>
      </c>
      <c r="C625" s="3">
        <v>44364</v>
      </c>
      <c r="D625" s="2">
        <v>65</v>
      </c>
      <c r="E625" s="2" t="s">
        <v>9</v>
      </c>
      <c r="F625" s="2" t="s">
        <v>18</v>
      </c>
      <c r="G625" s="2" t="s">
        <v>11</v>
      </c>
      <c r="H625" s="4">
        <v>31</v>
      </c>
      <c r="I62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26" spans="1:9">
      <c r="A626" s="2" t="s">
        <v>151</v>
      </c>
      <c r="B626" s="2" t="s">
        <v>56</v>
      </c>
      <c r="C626" s="3">
        <v>44365</v>
      </c>
      <c r="D626" s="2">
        <v>63</v>
      </c>
      <c r="E626" s="2" t="s">
        <v>9</v>
      </c>
      <c r="F626" s="2" t="s">
        <v>13</v>
      </c>
      <c r="G626" s="2" t="s">
        <v>16</v>
      </c>
      <c r="H626" s="4">
        <v>15</v>
      </c>
      <c r="I62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27" spans="1:9">
      <c r="A627" s="2" t="s">
        <v>150</v>
      </c>
      <c r="B627" s="2" t="s">
        <v>55</v>
      </c>
      <c r="C627" s="3">
        <v>44369</v>
      </c>
      <c r="D627" s="2">
        <v>62</v>
      </c>
      <c r="E627" s="2" t="s">
        <v>9</v>
      </c>
      <c r="F627" s="2" t="s">
        <v>10</v>
      </c>
      <c r="G627" s="2" t="s">
        <v>14</v>
      </c>
      <c r="H627" s="4">
        <v>38</v>
      </c>
      <c r="I6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28" spans="1:9">
      <c r="A628" s="2" t="s">
        <v>148</v>
      </c>
      <c r="B628" s="2" t="s">
        <v>54</v>
      </c>
      <c r="C628" s="3">
        <v>44378</v>
      </c>
      <c r="D628" s="2">
        <v>60</v>
      </c>
      <c r="E628" s="2" t="s">
        <v>9</v>
      </c>
      <c r="F628" s="2" t="s">
        <v>24</v>
      </c>
      <c r="G628" s="2" t="s">
        <v>25</v>
      </c>
      <c r="H628" s="4">
        <v>40</v>
      </c>
      <c r="I62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29" spans="1:9">
      <c r="A629" s="2" t="s">
        <v>149</v>
      </c>
      <c r="B629" s="2" t="s">
        <v>55</v>
      </c>
      <c r="C629" s="3">
        <v>44378</v>
      </c>
      <c r="D629" s="2">
        <v>61</v>
      </c>
      <c r="E629" s="2" t="s">
        <v>9</v>
      </c>
      <c r="F629" s="2" t="s">
        <v>30</v>
      </c>
      <c r="G629" s="2" t="s">
        <v>11</v>
      </c>
      <c r="H629" s="4">
        <v>17</v>
      </c>
      <c r="I62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0" spans="1:9">
      <c r="A630" s="2" t="s">
        <v>147</v>
      </c>
      <c r="B630" s="2" t="s">
        <v>54</v>
      </c>
      <c r="C630" s="3">
        <v>44381</v>
      </c>
      <c r="D630" s="2">
        <v>59</v>
      </c>
      <c r="E630" s="2" t="s">
        <v>9</v>
      </c>
      <c r="F630" s="2" t="s">
        <v>20</v>
      </c>
      <c r="G630" s="2" t="s">
        <v>23</v>
      </c>
      <c r="H630" s="4">
        <v>25</v>
      </c>
      <c r="I63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1" spans="1:9">
      <c r="A631" s="2" t="s">
        <v>145</v>
      </c>
      <c r="B631" s="2" t="s">
        <v>53</v>
      </c>
      <c r="C631" s="3">
        <v>44389</v>
      </c>
      <c r="D631" s="2">
        <v>57</v>
      </c>
      <c r="E631" s="2" t="s">
        <v>9</v>
      </c>
      <c r="F631" s="2" t="s">
        <v>15</v>
      </c>
      <c r="G631" s="2" t="s">
        <v>19</v>
      </c>
      <c r="H631" s="4">
        <v>30</v>
      </c>
      <c r="I63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32" spans="1:9">
      <c r="A632" s="2" t="s">
        <v>146</v>
      </c>
      <c r="B632" s="2" t="s">
        <v>53</v>
      </c>
      <c r="C632" s="3">
        <v>44389</v>
      </c>
      <c r="D632" s="2">
        <v>58</v>
      </c>
      <c r="E632" s="2" t="s">
        <v>9</v>
      </c>
      <c r="F632" s="2" t="s">
        <v>18</v>
      </c>
      <c r="G632" s="2" t="s">
        <v>21</v>
      </c>
      <c r="H632" s="4">
        <v>24</v>
      </c>
      <c r="I63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3" spans="1:9">
      <c r="A633" s="2" t="s">
        <v>144</v>
      </c>
      <c r="B633" s="2" t="s">
        <v>52</v>
      </c>
      <c r="C633" s="3">
        <v>44391</v>
      </c>
      <c r="D633" s="2">
        <v>56</v>
      </c>
      <c r="E633" s="2" t="s">
        <v>9</v>
      </c>
      <c r="F633" s="2" t="s">
        <v>13</v>
      </c>
      <c r="G633" s="2" t="s">
        <v>16</v>
      </c>
      <c r="H633" s="4">
        <v>39</v>
      </c>
      <c r="I6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34" spans="1:9">
      <c r="A634" s="2" t="s">
        <v>143</v>
      </c>
      <c r="B634" s="2" t="s">
        <v>52</v>
      </c>
      <c r="C634" s="3">
        <v>44394</v>
      </c>
      <c r="D634" s="2">
        <v>55</v>
      </c>
      <c r="E634" s="2" t="s">
        <v>9</v>
      </c>
      <c r="F634" s="2" t="s">
        <v>10</v>
      </c>
      <c r="G634" s="2" t="s">
        <v>14</v>
      </c>
      <c r="H634" s="4">
        <v>39</v>
      </c>
      <c r="I6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35" spans="1:9">
      <c r="A635" s="2" t="s">
        <v>142</v>
      </c>
      <c r="B635" s="2" t="s">
        <v>51</v>
      </c>
      <c r="C635" s="3">
        <v>44397</v>
      </c>
      <c r="D635" s="2">
        <v>54</v>
      </c>
      <c r="E635" s="2" t="s">
        <v>9</v>
      </c>
      <c r="F635" s="2" t="s">
        <v>30</v>
      </c>
      <c r="G635" s="2" t="s">
        <v>11</v>
      </c>
      <c r="H635" s="4">
        <v>32</v>
      </c>
      <c r="I63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6" spans="1:9">
      <c r="A636" s="2" t="s">
        <v>141</v>
      </c>
      <c r="B636" s="2" t="s">
        <v>51</v>
      </c>
      <c r="C636" s="3">
        <v>44401</v>
      </c>
      <c r="D636" s="2">
        <v>53</v>
      </c>
      <c r="E636" s="2" t="s">
        <v>9</v>
      </c>
      <c r="F636" s="2" t="s">
        <v>24</v>
      </c>
      <c r="G636" s="2" t="s">
        <v>25</v>
      </c>
      <c r="H636" s="4">
        <v>12</v>
      </c>
      <c r="I63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37" spans="1:9">
      <c r="A637" s="2" t="s">
        <v>139</v>
      </c>
      <c r="B637" s="2" t="s">
        <v>50</v>
      </c>
      <c r="C637" s="3">
        <v>44403</v>
      </c>
      <c r="D637" s="2">
        <v>51</v>
      </c>
      <c r="E637" s="2" t="s">
        <v>9</v>
      </c>
      <c r="F637" s="2" t="s">
        <v>18</v>
      </c>
      <c r="G637" s="2" t="s">
        <v>21</v>
      </c>
      <c r="H637" s="4">
        <v>38</v>
      </c>
      <c r="I63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8" spans="1:9">
      <c r="A638" s="2" t="s">
        <v>140</v>
      </c>
      <c r="B638" s="2" t="s">
        <v>50</v>
      </c>
      <c r="C638" s="3">
        <v>44403</v>
      </c>
      <c r="D638" s="2">
        <v>52</v>
      </c>
      <c r="E638" s="2" t="s">
        <v>9</v>
      </c>
      <c r="F638" s="2" t="s">
        <v>20</v>
      </c>
      <c r="G638" s="2" t="s">
        <v>23</v>
      </c>
      <c r="H638" s="4">
        <v>18</v>
      </c>
      <c r="I63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39" spans="1:9">
      <c r="A639" s="2" t="s">
        <v>138</v>
      </c>
      <c r="B639" s="2" t="s">
        <v>49</v>
      </c>
      <c r="C639" s="3">
        <v>44404</v>
      </c>
      <c r="D639" s="2">
        <v>50</v>
      </c>
      <c r="E639" s="2" t="s">
        <v>9</v>
      </c>
      <c r="F639" s="2" t="s">
        <v>15</v>
      </c>
      <c r="G639" s="2" t="s">
        <v>19</v>
      </c>
      <c r="H639" s="4">
        <v>36</v>
      </c>
      <c r="I63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40" spans="1:9">
      <c r="A640" s="2" t="s">
        <v>137</v>
      </c>
      <c r="B640" s="2" t="s">
        <v>49</v>
      </c>
      <c r="C640" s="3">
        <v>44405</v>
      </c>
      <c r="D640" s="2">
        <v>49</v>
      </c>
      <c r="E640" s="2" t="s">
        <v>9</v>
      </c>
      <c r="F640" s="2" t="s">
        <v>13</v>
      </c>
      <c r="G640" s="2" t="s">
        <v>16</v>
      </c>
      <c r="H640" s="4">
        <v>25</v>
      </c>
      <c r="I64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41" spans="1:9">
      <c r="A641" s="2" t="s">
        <v>136</v>
      </c>
      <c r="B641" s="2" t="s">
        <v>48</v>
      </c>
      <c r="C641" s="3">
        <v>44406</v>
      </c>
      <c r="D641" s="2">
        <v>48</v>
      </c>
      <c r="E641" s="2" t="s">
        <v>40</v>
      </c>
      <c r="F641" s="2" t="s">
        <v>10</v>
      </c>
      <c r="G641" s="2" t="s">
        <v>14</v>
      </c>
      <c r="H641" s="4">
        <v>20</v>
      </c>
      <c r="I64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42" spans="1:9">
      <c r="A642" s="2" t="s">
        <v>135</v>
      </c>
      <c r="B642" s="2" t="s">
        <v>48</v>
      </c>
      <c r="C642" s="3">
        <v>44412</v>
      </c>
      <c r="D642" s="2">
        <v>47</v>
      </c>
      <c r="E642" s="2" t="s">
        <v>40</v>
      </c>
      <c r="F642" s="2" t="s">
        <v>24</v>
      </c>
      <c r="G642" s="2" t="s">
        <v>11</v>
      </c>
      <c r="H642" s="4">
        <v>18</v>
      </c>
      <c r="I64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43" spans="1:9">
      <c r="A643" s="2" t="s">
        <v>134</v>
      </c>
      <c r="B643" s="2" t="s">
        <v>47</v>
      </c>
      <c r="C643" s="3">
        <v>44422</v>
      </c>
      <c r="D643" s="2">
        <v>46</v>
      </c>
      <c r="E643" s="2" t="s">
        <v>40</v>
      </c>
      <c r="F643" s="2" t="s">
        <v>20</v>
      </c>
      <c r="G643" s="2" t="s">
        <v>19</v>
      </c>
      <c r="H643" s="4">
        <v>23</v>
      </c>
      <c r="I64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44" spans="1:9">
      <c r="A644" s="2" t="s">
        <v>133</v>
      </c>
      <c r="B644" s="2" t="s">
        <v>47</v>
      </c>
      <c r="C644" s="3">
        <v>44427</v>
      </c>
      <c r="D644" s="2">
        <v>45</v>
      </c>
      <c r="E644" s="2" t="s">
        <v>40</v>
      </c>
      <c r="F644" s="2" t="s">
        <v>18</v>
      </c>
      <c r="G644" s="2" t="s">
        <v>16</v>
      </c>
      <c r="H644" s="4">
        <v>14</v>
      </c>
      <c r="I64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45" spans="1:9">
      <c r="A645" s="2" t="s">
        <v>132</v>
      </c>
      <c r="B645" s="2" t="s">
        <v>46</v>
      </c>
      <c r="C645" s="3">
        <v>44432</v>
      </c>
      <c r="D645" s="2">
        <v>44</v>
      </c>
      <c r="E645" s="2" t="s">
        <v>40</v>
      </c>
      <c r="F645" s="2" t="s">
        <v>15</v>
      </c>
      <c r="G645" s="2" t="s">
        <v>14</v>
      </c>
      <c r="H645" s="4">
        <v>19</v>
      </c>
      <c r="I64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46" spans="1:9">
      <c r="A646" s="2" t="s">
        <v>131</v>
      </c>
      <c r="B646" s="2" t="s">
        <v>46</v>
      </c>
      <c r="C646" s="3">
        <v>44450</v>
      </c>
      <c r="D646" s="2">
        <v>43</v>
      </c>
      <c r="E646" s="2" t="s">
        <v>40</v>
      </c>
      <c r="F646" s="2" t="s">
        <v>13</v>
      </c>
      <c r="G646" s="2" t="s">
        <v>11</v>
      </c>
      <c r="H646" s="4">
        <v>32</v>
      </c>
      <c r="I64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47" spans="1:9">
      <c r="A647" s="2" t="s">
        <v>130</v>
      </c>
      <c r="B647" s="2" t="s">
        <v>45</v>
      </c>
      <c r="C647" s="3">
        <v>44452</v>
      </c>
      <c r="D647" s="2">
        <v>42</v>
      </c>
      <c r="E647" s="2" t="s">
        <v>40</v>
      </c>
      <c r="F647" s="2" t="s">
        <v>10</v>
      </c>
      <c r="G647" s="2" t="s">
        <v>25</v>
      </c>
      <c r="H647" s="4">
        <v>27</v>
      </c>
      <c r="I64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48" spans="1:9">
      <c r="A648" s="2" t="s">
        <v>129</v>
      </c>
      <c r="B648" s="2" t="s">
        <v>45</v>
      </c>
      <c r="C648" s="3">
        <v>44453</v>
      </c>
      <c r="D648" s="2">
        <v>41</v>
      </c>
      <c r="E648" s="2" t="s">
        <v>40</v>
      </c>
      <c r="F648" s="2" t="s">
        <v>30</v>
      </c>
      <c r="G648" s="2" t="s">
        <v>23</v>
      </c>
      <c r="H648" s="4">
        <v>20</v>
      </c>
      <c r="I64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49" spans="1:9">
      <c r="A649" s="2" t="s">
        <v>128</v>
      </c>
      <c r="B649" s="2" t="s">
        <v>44</v>
      </c>
      <c r="C649" s="3">
        <v>44454</v>
      </c>
      <c r="D649" s="2">
        <v>40</v>
      </c>
      <c r="E649" s="2" t="s">
        <v>40</v>
      </c>
      <c r="F649" s="2" t="s">
        <v>24</v>
      </c>
      <c r="G649" s="2" t="s">
        <v>21</v>
      </c>
      <c r="H649" s="4">
        <v>28</v>
      </c>
      <c r="I64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50" spans="1:9">
      <c r="A650" s="2" t="s">
        <v>127</v>
      </c>
      <c r="B650" s="2" t="s">
        <v>44</v>
      </c>
      <c r="C650" s="3">
        <v>44460</v>
      </c>
      <c r="D650" s="2">
        <v>39</v>
      </c>
      <c r="E650" s="2" t="s">
        <v>40</v>
      </c>
      <c r="F650" s="2" t="s">
        <v>20</v>
      </c>
      <c r="G650" s="2" t="s">
        <v>19</v>
      </c>
      <c r="H650" s="4">
        <v>16</v>
      </c>
      <c r="I65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1" spans="1:9">
      <c r="A651" s="2" t="s">
        <v>125</v>
      </c>
      <c r="B651" s="2" t="s">
        <v>43</v>
      </c>
      <c r="C651" s="3">
        <v>44461</v>
      </c>
      <c r="D651" s="2">
        <v>37</v>
      </c>
      <c r="E651" s="2" t="s">
        <v>40</v>
      </c>
      <c r="F651" s="2" t="s">
        <v>15</v>
      </c>
      <c r="G651" s="2" t="s">
        <v>14</v>
      </c>
      <c r="H651" s="4">
        <v>23</v>
      </c>
      <c r="I65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52" spans="1:9">
      <c r="A652" s="2" t="s">
        <v>126</v>
      </c>
      <c r="B652" s="2" t="s">
        <v>43</v>
      </c>
      <c r="C652" s="3">
        <v>44461</v>
      </c>
      <c r="D652" s="2">
        <v>38</v>
      </c>
      <c r="E652" s="2" t="s">
        <v>40</v>
      </c>
      <c r="F652" s="2" t="s">
        <v>18</v>
      </c>
      <c r="G652" s="2" t="s">
        <v>16</v>
      </c>
      <c r="H652" s="4">
        <v>34</v>
      </c>
      <c r="I65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3" spans="1:9">
      <c r="A653" s="2" t="s">
        <v>123</v>
      </c>
      <c r="B653" s="2" t="s">
        <v>42</v>
      </c>
      <c r="C653" s="3">
        <v>44466</v>
      </c>
      <c r="D653" s="2">
        <v>35</v>
      </c>
      <c r="E653" s="2" t="s">
        <v>40</v>
      </c>
      <c r="F653" s="2" t="s">
        <v>10</v>
      </c>
      <c r="G653" s="2" t="s">
        <v>25</v>
      </c>
      <c r="H653" s="4">
        <v>24</v>
      </c>
      <c r="I65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54" spans="1:9">
      <c r="A654" s="2" t="s">
        <v>124</v>
      </c>
      <c r="B654" s="2" t="s">
        <v>42</v>
      </c>
      <c r="C654" s="3">
        <v>44466</v>
      </c>
      <c r="D654" s="2">
        <v>36</v>
      </c>
      <c r="E654" s="2" t="s">
        <v>40</v>
      </c>
      <c r="F654" s="2" t="s">
        <v>13</v>
      </c>
      <c r="G654" s="2" t="s">
        <v>11</v>
      </c>
      <c r="H654" s="4">
        <v>37</v>
      </c>
      <c r="I65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55" spans="1:9">
      <c r="A655" s="2" t="s">
        <v>122</v>
      </c>
      <c r="B655" s="2" t="s">
        <v>41</v>
      </c>
      <c r="C655" s="3">
        <v>44468</v>
      </c>
      <c r="D655" s="2">
        <v>34</v>
      </c>
      <c r="E655" s="2" t="s">
        <v>40</v>
      </c>
      <c r="F655" s="2" t="s">
        <v>30</v>
      </c>
      <c r="G655" s="2" t="s">
        <v>23</v>
      </c>
      <c r="H655" s="4">
        <v>32</v>
      </c>
      <c r="I65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6" spans="1:9">
      <c r="A656" s="2" t="s">
        <v>121</v>
      </c>
      <c r="B656" s="2" t="s">
        <v>41</v>
      </c>
      <c r="C656" s="3">
        <v>44472</v>
      </c>
      <c r="D656" s="2">
        <v>33</v>
      </c>
      <c r="E656" s="2" t="s">
        <v>40</v>
      </c>
      <c r="F656" s="2" t="s">
        <v>24</v>
      </c>
      <c r="G656" s="2" t="s">
        <v>21</v>
      </c>
      <c r="H656" s="4">
        <v>19</v>
      </c>
      <c r="I65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57" spans="1:9">
      <c r="A657" s="2" t="s">
        <v>119</v>
      </c>
      <c r="B657" s="2" t="s">
        <v>39</v>
      </c>
      <c r="C657" s="3">
        <v>44474</v>
      </c>
      <c r="D657" s="2">
        <v>31</v>
      </c>
      <c r="E657" s="2" t="s">
        <v>33</v>
      </c>
      <c r="F657" s="2" t="s">
        <v>18</v>
      </c>
      <c r="G657" s="2" t="s">
        <v>16</v>
      </c>
      <c r="H657" s="4">
        <v>35</v>
      </c>
      <c r="I65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8" spans="1:9">
      <c r="A658" s="2" t="s">
        <v>120</v>
      </c>
      <c r="B658" s="2" t="s">
        <v>39</v>
      </c>
      <c r="C658" s="3">
        <v>44474</v>
      </c>
      <c r="D658" s="2">
        <v>32</v>
      </c>
      <c r="E658" s="2" t="s">
        <v>40</v>
      </c>
      <c r="F658" s="2" t="s">
        <v>20</v>
      </c>
      <c r="G658" s="2" t="s">
        <v>19</v>
      </c>
      <c r="H658" s="4">
        <v>39</v>
      </c>
      <c r="I65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59" spans="1:9">
      <c r="A659" s="2" t="s">
        <v>118</v>
      </c>
      <c r="B659" s="2" t="s">
        <v>38</v>
      </c>
      <c r="C659" s="3">
        <v>44475</v>
      </c>
      <c r="D659" s="2">
        <v>30</v>
      </c>
      <c r="E659" s="2" t="s">
        <v>33</v>
      </c>
      <c r="F659" s="2" t="s">
        <v>15</v>
      </c>
      <c r="G659" s="2" t="s">
        <v>14</v>
      </c>
      <c r="H659" s="4">
        <v>21</v>
      </c>
      <c r="I65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60" spans="1:9">
      <c r="A660" s="2" t="s">
        <v>117</v>
      </c>
      <c r="B660" s="2" t="s">
        <v>38</v>
      </c>
      <c r="C660" s="3">
        <v>44485</v>
      </c>
      <c r="D660" s="2">
        <v>29</v>
      </c>
      <c r="E660" s="2" t="s">
        <v>33</v>
      </c>
      <c r="F660" s="2" t="s">
        <v>13</v>
      </c>
      <c r="G660" s="2" t="s">
        <v>11</v>
      </c>
      <c r="H660" s="4">
        <v>32</v>
      </c>
      <c r="I66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61" spans="1:9">
      <c r="A661" s="2" t="s">
        <v>116</v>
      </c>
      <c r="B661" s="2" t="s">
        <v>37</v>
      </c>
      <c r="C661" s="3">
        <v>44487</v>
      </c>
      <c r="D661" s="2">
        <v>28</v>
      </c>
      <c r="E661" s="2" t="s">
        <v>33</v>
      </c>
      <c r="F661" s="2" t="s">
        <v>10</v>
      </c>
      <c r="G661" s="2" t="s">
        <v>25</v>
      </c>
      <c r="H661" s="4">
        <v>10</v>
      </c>
      <c r="I66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62" spans="1:9">
      <c r="A662" s="2" t="s">
        <v>115</v>
      </c>
      <c r="B662" s="2" t="s">
        <v>37</v>
      </c>
      <c r="C662" s="3">
        <v>44488</v>
      </c>
      <c r="D662" s="2">
        <v>27</v>
      </c>
      <c r="E662" s="2" t="s">
        <v>33</v>
      </c>
      <c r="F662" s="2" t="s">
        <v>24</v>
      </c>
      <c r="G662" s="2" t="s">
        <v>23</v>
      </c>
      <c r="H662" s="4">
        <v>27</v>
      </c>
      <c r="I66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63" spans="1:9">
      <c r="A663" s="2" t="s">
        <v>113</v>
      </c>
      <c r="B663" s="2" t="s">
        <v>36</v>
      </c>
      <c r="C663" s="3">
        <v>44489</v>
      </c>
      <c r="D663" s="2">
        <v>25</v>
      </c>
      <c r="E663" s="2" t="s">
        <v>33</v>
      </c>
      <c r="F663" s="2" t="s">
        <v>18</v>
      </c>
      <c r="G663" s="2" t="s">
        <v>19</v>
      </c>
      <c r="H663" s="4">
        <v>40</v>
      </c>
      <c r="I66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64" spans="1:9">
      <c r="A664" s="2" t="s">
        <v>114</v>
      </c>
      <c r="B664" s="2" t="s">
        <v>36</v>
      </c>
      <c r="C664" s="3">
        <v>44489</v>
      </c>
      <c r="D664" s="2">
        <v>26</v>
      </c>
      <c r="E664" s="2" t="s">
        <v>33</v>
      </c>
      <c r="F664" s="2" t="s">
        <v>20</v>
      </c>
      <c r="G664" s="2" t="s">
        <v>21</v>
      </c>
      <c r="H664" s="4">
        <v>14</v>
      </c>
      <c r="I66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65" spans="1:9">
      <c r="A665" s="2" t="s">
        <v>112</v>
      </c>
      <c r="B665" s="2" t="s">
        <v>35</v>
      </c>
      <c r="C665" s="3">
        <v>44493</v>
      </c>
      <c r="D665" s="2">
        <v>24</v>
      </c>
      <c r="E665" s="2" t="s">
        <v>33</v>
      </c>
      <c r="F665" s="2" t="s">
        <v>15</v>
      </c>
      <c r="G665" s="2" t="s">
        <v>16</v>
      </c>
      <c r="H665" s="4">
        <v>34</v>
      </c>
      <c r="I66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66" spans="1:9">
      <c r="A666" s="2" t="s">
        <v>111</v>
      </c>
      <c r="B666" s="2" t="s">
        <v>35</v>
      </c>
      <c r="C666" s="3">
        <v>44494</v>
      </c>
      <c r="D666" s="2">
        <v>23</v>
      </c>
      <c r="E666" s="2" t="s">
        <v>33</v>
      </c>
      <c r="F666" s="2" t="s">
        <v>13</v>
      </c>
      <c r="G666" s="2" t="s">
        <v>14</v>
      </c>
      <c r="H666" s="4">
        <v>15</v>
      </c>
      <c r="I66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67" spans="1:9">
      <c r="A667" s="2" t="s">
        <v>110</v>
      </c>
      <c r="B667" s="2" t="s">
        <v>34</v>
      </c>
      <c r="C667" s="3">
        <v>44495</v>
      </c>
      <c r="D667" s="2">
        <v>22</v>
      </c>
      <c r="E667" s="2" t="s">
        <v>33</v>
      </c>
      <c r="F667" s="2" t="s">
        <v>10</v>
      </c>
      <c r="G667" s="2" t="s">
        <v>11</v>
      </c>
      <c r="H667" s="4">
        <v>28</v>
      </c>
      <c r="I66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68" spans="1:9">
      <c r="A668" s="2" t="s">
        <v>109</v>
      </c>
      <c r="B668" s="2" t="s">
        <v>34</v>
      </c>
      <c r="C668" s="3">
        <v>44497</v>
      </c>
      <c r="D668" s="2">
        <v>21</v>
      </c>
      <c r="E668" s="2" t="s">
        <v>33</v>
      </c>
      <c r="F668" s="2" t="s">
        <v>30</v>
      </c>
      <c r="G668" s="2" t="s">
        <v>25</v>
      </c>
      <c r="H668" s="4">
        <v>36</v>
      </c>
      <c r="I66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69" spans="1:9">
      <c r="A669" s="2" t="s">
        <v>107</v>
      </c>
      <c r="B669" s="2" t="s">
        <v>32</v>
      </c>
      <c r="C669" s="3">
        <v>44498</v>
      </c>
      <c r="D669" s="2">
        <v>19</v>
      </c>
      <c r="E669" s="2" t="s">
        <v>33</v>
      </c>
      <c r="F669" s="2" t="s">
        <v>20</v>
      </c>
      <c r="G669" s="2" t="s">
        <v>21</v>
      </c>
      <c r="H669" s="4">
        <v>39</v>
      </c>
      <c r="I66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70" spans="1:9">
      <c r="A670" s="2" t="s">
        <v>108</v>
      </c>
      <c r="B670" s="2" t="s">
        <v>32</v>
      </c>
      <c r="C670" s="3">
        <v>44498</v>
      </c>
      <c r="D670" s="2">
        <v>20</v>
      </c>
      <c r="E670" s="2" t="s">
        <v>33</v>
      </c>
      <c r="F670" s="2" t="s">
        <v>24</v>
      </c>
      <c r="G670" s="2" t="s">
        <v>23</v>
      </c>
      <c r="H670" s="4">
        <v>25</v>
      </c>
      <c r="I67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71" spans="1:9">
      <c r="A671" s="2" t="s">
        <v>106</v>
      </c>
      <c r="B671" s="2" t="s">
        <v>32</v>
      </c>
      <c r="C671" s="3">
        <v>44501</v>
      </c>
      <c r="D671" s="2">
        <v>18</v>
      </c>
      <c r="E671" s="2" t="s">
        <v>9</v>
      </c>
      <c r="F671" s="2" t="s">
        <v>18</v>
      </c>
      <c r="G671" s="2" t="s">
        <v>19</v>
      </c>
      <c r="H671" s="4">
        <v>38</v>
      </c>
      <c r="I67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72" spans="1:9">
      <c r="A672" s="2" t="s">
        <v>105</v>
      </c>
      <c r="B672" s="2" t="s">
        <v>31</v>
      </c>
      <c r="C672" s="3">
        <v>44502</v>
      </c>
      <c r="D672" s="2">
        <v>17</v>
      </c>
      <c r="E672" s="2" t="s">
        <v>9</v>
      </c>
      <c r="F672" s="2" t="s">
        <v>15</v>
      </c>
      <c r="G672" s="2" t="s">
        <v>16</v>
      </c>
      <c r="H672" s="4">
        <v>23</v>
      </c>
      <c r="I67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73" spans="1:9">
      <c r="A673" s="2" t="s">
        <v>104</v>
      </c>
      <c r="B673" s="2" t="s">
        <v>31</v>
      </c>
      <c r="C673" s="3">
        <v>44510</v>
      </c>
      <c r="D673" s="2">
        <v>16</v>
      </c>
      <c r="E673" s="2" t="s">
        <v>9</v>
      </c>
      <c r="F673" s="2" t="s">
        <v>13</v>
      </c>
      <c r="G673" s="2" t="s">
        <v>14</v>
      </c>
      <c r="H673" s="4">
        <v>34</v>
      </c>
      <c r="I67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74" spans="1:9">
      <c r="A674" s="2" t="s">
        <v>103</v>
      </c>
      <c r="B674" s="2" t="s">
        <v>29</v>
      </c>
      <c r="C674" s="3">
        <v>44513</v>
      </c>
      <c r="D674" s="2">
        <v>15</v>
      </c>
      <c r="E674" s="2" t="s">
        <v>9</v>
      </c>
      <c r="F674" s="2" t="s">
        <v>10</v>
      </c>
      <c r="G674" s="2" t="s">
        <v>11</v>
      </c>
      <c r="H674" s="4">
        <v>32</v>
      </c>
      <c r="I67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75" spans="1:9">
      <c r="A675" s="2" t="s">
        <v>102</v>
      </c>
      <c r="B675" s="2" t="s">
        <v>29</v>
      </c>
      <c r="C675" s="3">
        <v>44516</v>
      </c>
      <c r="D675" s="2">
        <v>14</v>
      </c>
      <c r="E675" s="2"/>
      <c r="F675" s="2" t="s">
        <v>30</v>
      </c>
      <c r="G675" s="2" t="s">
        <v>16</v>
      </c>
      <c r="H675" s="4">
        <v>33</v>
      </c>
      <c r="I675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76" spans="1:9">
      <c r="A676" s="2" t="s">
        <v>101</v>
      </c>
      <c r="B676" s="2" t="s">
        <v>28</v>
      </c>
      <c r="C676" s="3">
        <v>44519</v>
      </c>
      <c r="D676" s="2">
        <v>13</v>
      </c>
      <c r="E676" s="2" t="s">
        <v>383</v>
      </c>
      <c r="F676" s="2" t="s">
        <v>24</v>
      </c>
      <c r="G676" s="2" t="s">
        <v>23</v>
      </c>
      <c r="H676" s="4">
        <v>11</v>
      </c>
      <c r="I67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77" spans="1:9">
      <c r="A677" s="2" t="s">
        <v>100</v>
      </c>
      <c r="B677" s="2" t="s">
        <v>28</v>
      </c>
      <c r="C677" s="3">
        <v>44520</v>
      </c>
      <c r="D677" s="2">
        <v>12</v>
      </c>
      <c r="E677" s="2" t="s">
        <v>385</v>
      </c>
      <c r="F677" s="2" t="s">
        <v>20</v>
      </c>
      <c r="G677" s="2" t="s">
        <v>21</v>
      </c>
      <c r="H677" s="4">
        <v>17</v>
      </c>
      <c r="I677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78" spans="1:9">
      <c r="A678" s="2" t="s">
        <v>99</v>
      </c>
      <c r="B678" s="2" t="s">
        <v>27</v>
      </c>
      <c r="C678" s="3">
        <v>44528</v>
      </c>
      <c r="D678" s="2">
        <v>11</v>
      </c>
      <c r="E678" s="2" t="s">
        <v>383</v>
      </c>
      <c r="F678" s="2" t="s">
        <v>18</v>
      </c>
      <c r="G678" s="2" t="s">
        <v>16</v>
      </c>
      <c r="H678" s="4">
        <v>24</v>
      </c>
      <c r="I678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79" spans="1:9">
      <c r="A679" s="2" t="s">
        <v>250</v>
      </c>
      <c r="B679" s="2" t="s">
        <v>27</v>
      </c>
      <c r="C679" s="3">
        <v>44528</v>
      </c>
      <c r="D679" s="2">
        <v>150</v>
      </c>
      <c r="E679" s="2" t="s">
        <v>9</v>
      </c>
      <c r="F679" s="2" t="s">
        <v>18</v>
      </c>
      <c r="G679" s="2" t="s">
        <v>19</v>
      </c>
      <c r="H679" s="4">
        <v>24</v>
      </c>
      <c r="I67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0" spans="1:9">
      <c r="A680" s="2" t="s">
        <v>272</v>
      </c>
      <c r="B680" s="2" t="s">
        <v>27</v>
      </c>
      <c r="C680" s="3">
        <v>44528</v>
      </c>
      <c r="D680" s="2">
        <v>165</v>
      </c>
      <c r="E680" s="2" t="s">
        <v>9</v>
      </c>
      <c r="F680" s="2" t="s">
        <v>18</v>
      </c>
      <c r="G680" s="2" t="s">
        <v>19</v>
      </c>
      <c r="H680" s="4">
        <v>24</v>
      </c>
      <c r="I68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1" spans="1:9">
      <c r="A681" s="2" t="s">
        <v>287</v>
      </c>
      <c r="B681" s="2" t="s">
        <v>27</v>
      </c>
      <c r="C681" s="3">
        <v>44528</v>
      </c>
      <c r="D681" s="2">
        <v>180</v>
      </c>
      <c r="E681" s="2" t="s">
        <v>9</v>
      </c>
      <c r="F681" s="2" t="s">
        <v>18</v>
      </c>
      <c r="G681" s="2" t="s">
        <v>19</v>
      </c>
      <c r="H681" s="4">
        <v>24</v>
      </c>
      <c r="I68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2" spans="1:9">
      <c r="A682" s="2" t="s">
        <v>302</v>
      </c>
      <c r="B682" s="2" t="s">
        <v>27</v>
      </c>
      <c r="C682" s="3">
        <v>44528</v>
      </c>
      <c r="D682" s="2">
        <v>195</v>
      </c>
      <c r="E682" s="2" t="s">
        <v>9</v>
      </c>
      <c r="F682" s="2" t="s">
        <v>18</v>
      </c>
      <c r="G682" s="2" t="s">
        <v>19</v>
      </c>
      <c r="H682" s="4">
        <v>24</v>
      </c>
      <c r="I682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3" spans="1:9">
      <c r="A683" s="2" t="s">
        <v>317</v>
      </c>
      <c r="B683" s="2" t="s">
        <v>27</v>
      </c>
      <c r="C683" s="3">
        <v>44528</v>
      </c>
      <c r="D683" s="2">
        <v>210</v>
      </c>
      <c r="E683" s="2" t="s">
        <v>9</v>
      </c>
      <c r="F683" s="2" t="s">
        <v>18</v>
      </c>
      <c r="G683" s="2" t="s">
        <v>19</v>
      </c>
      <c r="H683" s="4">
        <v>24</v>
      </c>
      <c r="I683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4" spans="1:9">
      <c r="A684" s="2" t="s">
        <v>332</v>
      </c>
      <c r="B684" s="2" t="s">
        <v>27</v>
      </c>
      <c r="C684" s="3">
        <v>44528</v>
      </c>
      <c r="D684" s="2">
        <v>225</v>
      </c>
      <c r="E684" s="2" t="s">
        <v>9</v>
      </c>
      <c r="F684" s="2" t="s">
        <v>18</v>
      </c>
      <c r="G684" s="2" t="s">
        <v>19</v>
      </c>
      <c r="H684" s="4">
        <v>24</v>
      </c>
      <c r="I684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685" spans="1:9">
      <c r="A685" s="2" t="s">
        <v>98</v>
      </c>
      <c r="B685" s="2" t="s">
        <v>27</v>
      </c>
      <c r="C685" s="3">
        <v>44529</v>
      </c>
      <c r="D685" s="2">
        <v>10</v>
      </c>
      <c r="E685" s="2" t="s">
        <v>383</v>
      </c>
      <c r="F685" s="2" t="s">
        <v>13</v>
      </c>
      <c r="G685" s="2" t="s">
        <v>16</v>
      </c>
      <c r="H685" s="4">
        <v>24</v>
      </c>
      <c r="I68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86" spans="1:9">
      <c r="A686" s="2" t="s">
        <v>249</v>
      </c>
      <c r="B686" s="2" t="s">
        <v>27</v>
      </c>
      <c r="C686" s="3">
        <v>44529</v>
      </c>
      <c r="D686" s="2">
        <v>149</v>
      </c>
      <c r="E686" s="2" t="s">
        <v>9</v>
      </c>
      <c r="F686" s="2" t="s">
        <v>15</v>
      </c>
      <c r="G686" s="2" t="s">
        <v>16</v>
      </c>
      <c r="H686" s="4">
        <v>24</v>
      </c>
      <c r="I68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87" spans="1:9">
      <c r="A687" s="2" t="s">
        <v>271</v>
      </c>
      <c r="B687" s="2" t="s">
        <v>27</v>
      </c>
      <c r="C687" s="3">
        <v>44529</v>
      </c>
      <c r="D687" s="2">
        <v>164</v>
      </c>
      <c r="E687" s="2" t="s">
        <v>9</v>
      </c>
      <c r="F687" s="2" t="s">
        <v>15</v>
      </c>
      <c r="G687" s="2" t="s">
        <v>16</v>
      </c>
      <c r="H687" s="4">
        <v>24</v>
      </c>
      <c r="I68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88" spans="1:9">
      <c r="A688" s="2" t="s">
        <v>286</v>
      </c>
      <c r="B688" s="2" t="s">
        <v>27</v>
      </c>
      <c r="C688" s="3">
        <v>44529</v>
      </c>
      <c r="D688" s="2">
        <v>179</v>
      </c>
      <c r="E688" s="2" t="s">
        <v>9</v>
      </c>
      <c r="F688" s="2" t="s">
        <v>15</v>
      </c>
      <c r="G688" s="2" t="s">
        <v>16</v>
      </c>
      <c r="H688" s="4">
        <v>24</v>
      </c>
      <c r="I68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89" spans="1:9">
      <c r="A689" s="2" t="s">
        <v>301</v>
      </c>
      <c r="B689" s="2" t="s">
        <v>27</v>
      </c>
      <c r="C689" s="3">
        <v>44529</v>
      </c>
      <c r="D689" s="2">
        <v>194</v>
      </c>
      <c r="E689" s="2" t="s">
        <v>9</v>
      </c>
      <c r="F689" s="2" t="s">
        <v>15</v>
      </c>
      <c r="G689" s="2" t="s">
        <v>16</v>
      </c>
      <c r="H689" s="4">
        <v>24</v>
      </c>
      <c r="I68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90" spans="1:9">
      <c r="A690" s="2" t="s">
        <v>316</v>
      </c>
      <c r="B690" s="2" t="s">
        <v>27</v>
      </c>
      <c r="C690" s="3">
        <v>44529</v>
      </c>
      <c r="D690" s="2">
        <v>209</v>
      </c>
      <c r="E690" s="2" t="s">
        <v>9</v>
      </c>
      <c r="F690" s="2" t="s">
        <v>15</v>
      </c>
      <c r="G690" s="2" t="s">
        <v>16</v>
      </c>
      <c r="H690" s="4">
        <v>24</v>
      </c>
      <c r="I69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91" spans="1:9">
      <c r="A691" s="2" t="s">
        <v>331</v>
      </c>
      <c r="B691" s="2" t="s">
        <v>27</v>
      </c>
      <c r="C691" s="3">
        <v>44529</v>
      </c>
      <c r="D691" s="2">
        <v>224</v>
      </c>
      <c r="E691" s="2" t="s">
        <v>9</v>
      </c>
      <c r="F691" s="2" t="s">
        <v>15</v>
      </c>
      <c r="G691" s="2" t="s">
        <v>16</v>
      </c>
      <c r="H691" s="4">
        <v>24</v>
      </c>
      <c r="I69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692" spans="1:9">
      <c r="A692" s="2" t="s">
        <v>97</v>
      </c>
      <c r="B692" s="2" t="s">
        <v>26</v>
      </c>
      <c r="C692" s="3">
        <v>44530</v>
      </c>
      <c r="D692" s="2">
        <v>9</v>
      </c>
      <c r="E692" s="2" t="s">
        <v>385</v>
      </c>
      <c r="F692" s="2" t="s">
        <v>13</v>
      </c>
      <c r="G692" s="2" t="s">
        <v>14</v>
      </c>
      <c r="H692" s="4">
        <v>30</v>
      </c>
      <c r="I69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3" spans="1:9">
      <c r="A693" s="2" t="s">
        <v>248</v>
      </c>
      <c r="B693" s="2" t="s">
        <v>26</v>
      </c>
      <c r="C693" s="3">
        <v>44530</v>
      </c>
      <c r="D693" s="2">
        <v>148</v>
      </c>
      <c r="E693" s="2" t="s">
        <v>9</v>
      </c>
      <c r="F693" s="2" t="s">
        <v>13</v>
      </c>
      <c r="G693" s="2" t="s">
        <v>14</v>
      </c>
      <c r="H693" s="4">
        <v>30</v>
      </c>
      <c r="I69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4" spans="1:9">
      <c r="A694" s="2" t="s">
        <v>251</v>
      </c>
      <c r="B694" s="2" t="s">
        <v>8</v>
      </c>
      <c r="C694" s="3">
        <v>44530</v>
      </c>
      <c r="D694" s="2">
        <v>151</v>
      </c>
      <c r="E694" s="2" t="s">
        <v>9</v>
      </c>
      <c r="F694" s="2" t="s">
        <v>13</v>
      </c>
      <c r="G694" s="2" t="s">
        <v>14</v>
      </c>
      <c r="H694" s="4">
        <v>30</v>
      </c>
      <c r="I69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5" spans="1:9">
      <c r="A695" s="2" t="s">
        <v>252</v>
      </c>
      <c r="B695" s="2" t="s">
        <v>12</v>
      </c>
      <c r="C695" s="3">
        <v>44530</v>
      </c>
      <c r="D695" s="2">
        <v>152</v>
      </c>
      <c r="E695" s="2" t="s">
        <v>9</v>
      </c>
      <c r="F695" s="2" t="s">
        <v>13</v>
      </c>
      <c r="G695" s="2" t="s">
        <v>14</v>
      </c>
      <c r="H695" s="4">
        <v>30</v>
      </c>
      <c r="I69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6" spans="1:9">
      <c r="A696" s="2" t="s">
        <v>253</v>
      </c>
      <c r="B696" s="2" t="s">
        <v>12</v>
      </c>
      <c r="C696" s="3">
        <v>44530</v>
      </c>
      <c r="D696" s="2">
        <v>153</v>
      </c>
      <c r="E696" s="2" t="s">
        <v>9</v>
      </c>
      <c r="F696" s="2" t="s">
        <v>13</v>
      </c>
      <c r="G696" s="2" t="s">
        <v>14</v>
      </c>
      <c r="H696" s="4">
        <v>30</v>
      </c>
      <c r="I69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7" spans="1:9">
      <c r="A697" s="2" t="s">
        <v>254</v>
      </c>
      <c r="B697" s="2" t="s">
        <v>17</v>
      </c>
      <c r="C697" s="3">
        <v>44530</v>
      </c>
      <c r="D697" s="2">
        <v>154</v>
      </c>
      <c r="E697" s="2" t="s">
        <v>9</v>
      </c>
      <c r="F697" s="2" t="s">
        <v>13</v>
      </c>
      <c r="G697" s="2" t="s">
        <v>14</v>
      </c>
      <c r="H697" s="4">
        <v>30</v>
      </c>
      <c r="I69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8" spans="1:9">
      <c r="A698" s="2" t="s">
        <v>255</v>
      </c>
      <c r="B698" s="2" t="s">
        <v>17</v>
      </c>
      <c r="C698" s="3">
        <v>44530</v>
      </c>
      <c r="D698" s="2">
        <v>155</v>
      </c>
      <c r="E698" s="2" t="s">
        <v>9</v>
      </c>
      <c r="F698" s="2" t="s">
        <v>13</v>
      </c>
      <c r="G698" s="2" t="s">
        <v>14</v>
      </c>
      <c r="H698" s="4">
        <v>30</v>
      </c>
      <c r="I69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699" spans="1:9">
      <c r="A699" s="2" t="s">
        <v>256</v>
      </c>
      <c r="B699" s="2" t="s">
        <v>22</v>
      </c>
      <c r="C699" s="3">
        <v>44530</v>
      </c>
      <c r="D699" s="2">
        <v>156</v>
      </c>
      <c r="E699" s="2" t="s">
        <v>9</v>
      </c>
      <c r="F699" s="2" t="s">
        <v>13</v>
      </c>
      <c r="G699" s="2" t="s">
        <v>14</v>
      </c>
      <c r="H699" s="4">
        <v>30</v>
      </c>
      <c r="I69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0" spans="1:9">
      <c r="A700" s="2" t="s">
        <v>257</v>
      </c>
      <c r="B700" s="2" t="s">
        <v>22</v>
      </c>
      <c r="C700" s="3">
        <v>44530</v>
      </c>
      <c r="D700" s="2">
        <v>157</v>
      </c>
      <c r="E700" s="2" t="s">
        <v>9</v>
      </c>
      <c r="F700" s="2" t="s">
        <v>13</v>
      </c>
      <c r="G700" s="2" t="s">
        <v>14</v>
      </c>
      <c r="H700" s="4">
        <v>30</v>
      </c>
      <c r="I70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1" spans="1:9">
      <c r="A701" s="2" t="s">
        <v>258</v>
      </c>
      <c r="B701" s="2" t="s">
        <v>8</v>
      </c>
      <c r="C701" s="3">
        <v>44530</v>
      </c>
      <c r="D701" s="2">
        <v>158</v>
      </c>
      <c r="E701" s="2" t="s">
        <v>9</v>
      </c>
      <c r="F701" s="2" t="s">
        <v>13</v>
      </c>
      <c r="G701" s="2" t="s">
        <v>14</v>
      </c>
      <c r="H701" s="4">
        <v>30</v>
      </c>
      <c r="I70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2" spans="1:9">
      <c r="A702" s="2" t="s">
        <v>264</v>
      </c>
      <c r="B702" s="2" t="s">
        <v>265</v>
      </c>
      <c r="C702" s="3">
        <v>44530</v>
      </c>
      <c r="D702" s="2">
        <v>158</v>
      </c>
      <c r="E702" s="2" t="s">
        <v>9</v>
      </c>
      <c r="F702" s="2" t="s">
        <v>13</v>
      </c>
      <c r="G702" s="2" t="s">
        <v>14</v>
      </c>
      <c r="H702" s="4">
        <v>26</v>
      </c>
      <c r="I70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3" spans="1:9">
      <c r="A703" s="2" t="s">
        <v>270</v>
      </c>
      <c r="B703" s="2" t="s">
        <v>26</v>
      </c>
      <c r="C703" s="3">
        <v>44530</v>
      </c>
      <c r="D703" s="2">
        <v>163</v>
      </c>
      <c r="E703" s="2" t="s">
        <v>9</v>
      </c>
      <c r="F703" s="2" t="s">
        <v>13</v>
      </c>
      <c r="G703" s="2" t="s">
        <v>14</v>
      </c>
      <c r="H703" s="4">
        <v>30</v>
      </c>
      <c r="I70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4" spans="1:9">
      <c r="A704" s="2" t="s">
        <v>273</v>
      </c>
      <c r="B704" s="2" t="s">
        <v>8</v>
      </c>
      <c r="C704" s="3">
        <v>44530</v>
      </c>
      <c r="D704" s="2">
        <v>166</v>
      </c>
      <c r="E704" s="2" t="s">
        <v>9</v>
      </c>
      <c r="F704" s="2" t="s">
        <v>13</v>
      </c>
      <c r="G704" s="2" t="s">
        <v>14</v>
      </c>
      <c r="H704" s="4">
        <v>30</v>
      </c>
      <c r="I70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5" spans="1:9">
      <c r="A705" s="2" t="s">
        <v>274</v>
      </c>
      <c r="B705" s="2" t="s">
        <v>12</v>
      </c>
      <c r="C705" s="3">
        <v>44530</v>
      </c>
      <c r="D705" s="2">
        <v>167</v>
      </c>
      <c r="E705" s="2" t="s">
        <v>9</v>
      </c>
      <c r="F705" s="2" t="s">
        <v>13</v>
      </c>
      <c r="G705" s="2" t="s">
        <v>14</v>
      </c>
      <c r="H705" s="4">
        <v>30</v>
      </c>
      <c r="I70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6" spans="1:9">
      <c r="A706" s="2" t="s">
        <v>275</v>
      </c>
      <c r="B706" s="2" t="s">
        <v>12</v>
      </c>
      <c r="C706" s="3">
        <v>44530</v>
      </c>
      <c r="D706" s="2">
        <v>168</v>
      </c>
      <c r="E706" s="2" t="s">
        <v>9</v>
      </c>
      <c r="F706" s="2" t="s">
        <v>13</v>
      </c>
      <c r="G706" s="2" t="s">
        <v>14</v>
      </c>
      <c r="H706" s="4">
        <v>30</v>
      </c>
      <c r="I70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7" spans="1:9">
      <c r="A707" s="2" t="s">
        <v>276</v>
      </c>
      <c r="B707" s="2" t="s">
        <v>17</v>
      </c>
      <c r="C707" s="3">
        <v>44530</v>
      </c>
      <c r="D707" s="2">
        <v>169</v>
      </c>
      <c r="E707" s="2" t="s">
        <v>9</v>
      </c>
      <c r="F707" s="2" t="s">
        <v>13</v>
      </c>
      <c r="G707" s="2" t="s">
        <v>14</v>
      </c>
      <c r="H707" s="4">
        <v>30</v>
      </c>
      <c r="I70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8" spans="1:9">
      <c r="A708" s="2" t="s">
        <v>277</v>
      </c>
      <c r="B708" s="2" t="s">
        <v>17</v>
      </c>
      <c r="C708" s="3">
        <v>44530</v>
      </c>
      <c r="D708" s="2">
        <v>170</v>
      </c>
      <c r="E708" s="2" t="s">
        <v>9</v>
      </c>
      <c r="F708" s="2" t="s">
        <v>13</v>
      </c>
      <c r="G708" s="2" t="s">
        <v>14</v>
      </c>
      <c r="H708" s="4">
        <v>30</v>
      </c>
      <c r="I70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09" spans="1:9">
      <c r="A709" s="2" t="s">
        <v>278</v>
      </c>
      <c r="B709" s="2" t="s">
        <v>22</v>
      </c>
      <c r="C709" s="3">
        <v>44530</v>
      </c>
      <c r="D709" s="2">
        <v>171</v>
      </c>
      <c r="E709" s="2" t="s">
        <v>9</v>
      </c>
      <c r="F709" s="2" t="s">
        <v>13</v>
      </c>
      <c r="G709" s="2" t="s">
        <v>14</v>
      </c>
      <c r="H709" s="4">
        <v>30</v>
      </c>
      <c r="I70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0" spans="1:9">
      <c r="A710" s="2" t="s">
        <v>279</v>
      </c>
      <c r="B710" s="2" t="s">
        <v>22</v>
      </c>
      <c r="C710" s="3">
        <v>44530</v>
      </c>
      <c r="D710" s="2">
        <v>172</v>
      </c>
      <c r="E710" s="2" t="s">
        <v>9</v>
      </c>
      <c r="F710" s="2" t="s">
        <v>13</v>
      </c>
      <c r="G710" s="2" t="s">
        <v>14</v>
      </c>
      <c r="H710" s="4">
        <v>30</v>
      </c>
      <c r="I71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1" spans="1:9">
      <c r="A711" s="2" t="s">
        <v>280</v>
      </c>
      <c r="B711" s="2" t="s">
        <v>8</v>
      </c>
      <c r="C711" s="3">
        <v>44530</v>
      </c>
      <c r="D711" s="2">
        <v>173</v>
      </c>
      <c r="E711" s="2" t="s">
        <v>9</v>
      </c>
      <c r="F711" s="2" t="s">
        <v>13</v>
      </c>
      <c r="G711" s="2" t="s">
        <v>14</v>
      </c>
      <c r="H711" s="4">
        <v>30</v>
      </c>
      <c r="I71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2" spans="1:9">
      <c r="A712" s="2" t="s">
        <v>285</v>
      </c>
      <c r="B712" s="2" t="s">
        <v>26</v>
      </c>
      <c r="C712" s="3">
        <v>44530</v>
      </c>
      <c r="D712" s="2">
        <v>178</v>
      </c>
      <c r="E712" s="2" t="s">
        <v>9</v>
      </c>
      <c r="F712" s="2" t="s">
        <v>13</v>
      </c>
      <c r="G712" s="2" t="s">
        <v>14</v>
      </c>
      <c r="H712" s="4">
        <v>30</v>
      </c>
      <c r="I71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3" spans="1:9">
      <c r="A713" s="2" t="s">
        <v>288</v>
      </c>
      <c r="B713" s="2" t="s">
        <v>8</v>
      </c>
      <c r="C713" s="3">
        <v>44530</v>
      </c>
      <c r="D713" s="2">
        <v>181</v>
      </c>
      <c r="E713" s="2" t="s">
        <v>9</v>
      </c>
      <c r="F713" s="2" t="s">
        <v>13</v>
      </c>
      <c r="G713" s="2" t="s">
        <v>14</v>
      </c>
      <c r="H713" s="4">
        <v>30</v>
      </c>
      <c r="I71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4" spans="1:9">
      <c r="A714" s="2" t="s">
        <v>289</v>
      </c>
      <c r="B714" s="2" t="s">
        <v>12</v>
      </c>
      <c r="C714" s="3">
        <v>44530</v>
      </c>
      <c r="D714" s="2">
        <v>182</v>
      </c>
      <c r="E714" s="2" t="s">
        <v>9</v>
      </c>
      <c r="F714" s="2" t="s">
        <v>13</v>
      </c>
      <c r="G714" s="2" t="s">
        <v>14</v>
      </c>
      <c r="H714" s="4">
        <v>30</v>
      </c>
      <c r="I71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5" spans="1:9">
      <c r="A715" s="2" t="s">
        <v>290</v>
      </c>
      <c r="B715" s="2" t="s">
        <v>12</v>
      </c>
      <c r="C715" s="3">
        <v>44530</v>
      </c>
      <c r="D715" s="2">
        <v>183</v>
      </c>
      <c r="E715" s="2" t="s">
        <v>9</v>
      </c>
      <c r="F715" s="2" t="s">
        <v>13</v>
      </c>
      <c r="G715" s="2" t="s">
        <v>14</v>
      </c>
      <c r="H715" s="4">
        <v>30</v>
      </c>
      <c r="I71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6" spans="1:9">
      <c r="A716" s="2" t="s">
        <v>291</v>
      </c>
      <c r="B716" s="2" t="s">
        <v>17</v>
      </c>
      <c r="C716" s="3">
        <v>44530</v>
      </c>
      <c r="D716" s="2">
        <v>184</v>
      </c>
      <c r="E716" s="2" t="s">
        <v>9</v>
      </c>
      <c r="F716" s="2" t="s">
        <v>13</v>
      </c>
      <c r="G716" s="2" t="s">
        <v>14</v>
      </c>
      <c r="H716" s="4">
        <v>30</v>
      </c>
      <c r="I71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7" spans="1:9">
      <c r="A717" s="2" t="s">
        <v>292</v>
      </c>
      <c r="B717" s="2" t="s">
        <v>17</v>
      </c>
      <c r="C717" s="3">
        <v>44530</v>
      </c>
      <c r="D717" s="2">
        <v>185</v>
      </c>
      <c r="E717" s="2" t="s">
        <v>9</v>
      </c>
      <c r="F717" s="2" t="s">
        <v>13</v>
      </c>
      <c r="G717" s="2" t="s">
        <v>14</v>
      </c>
      <c r="H717" s="4">
        <v>30</v>
      </c>
      <c r="I71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8" spans="1:9">
      <c r="A718" s="2" t="s">
        <v>293</v>
      </c>
      <c r="B718" s="2" t="s">
        <v>22</v>
      </c>
      <c r="C718" s="3">
        <v>44530</v>
      </c>
      <c r="D718" s="2">
        <v>186</v>
      </c>
      <c r="E718" s="2" t="s">
        <v>9</v>
      </c>
      <c r="F718" s="2" t="s">
        <v>13</v>
      </c>
      <c r="G718" s="2" t="s">
        <v>14</v>
      </c>
      <c r="H718" s="4">
        <v>30</v>
      </c>
      <c r="I71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19" spans="1:9">
      <c r="A719" s="2" t="s">
        <v>294</v>
      </c>
      <c r="B719" s="2" t="s">
        <v>22</v>
      </c>
      <c r="C719" s="3">
        <v>44530</v>
      </c>
      <c r="D719" s="2">
        <v>187</v>
      </c>
      <c r="E719" s="2" t="s">
        <v>9</v>
      </c>
      <c r="F719" s="2" t="s">
        <v>13</v>
      </c>
      <c r="G719" s="2" t="s">
        <v>14</v>
      </c>
      <c r="H719" s="4">
        <v>30</v>
      </c>
      <c r="I71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0" spans="1:9">
      <c r="A720" s="2" t="s">
        <v>295</v>
      </c>
      <c r="B720" s="2" t="s">
        <v>8</v>
      </c>
      <c r="C720" s="3">
        <v>44530</v>
      </c>
      <c r="D720" s="2">
        <v>188</v>
      </c>
      <c r="E720" s="2" t="s">
        <v>9</v>
      </c>
      <c r="F720" s="2" t="s">
        <v>13</v>
      </c>
      <c r="G720" s="2" t="s">
        <v>14</v>
      </c>
      <c r="H720" s="4">
        <v>30</v>
      </c>
      <c r="I72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1" spans="1:9">
      <c r="A721" s="2" t="s">
        <v>300</v>
      </c>
      <c r="B721" s="2" t="s">
        <v>26</v>
      </c>
      <c r="C721" s="3">
        <v>44530</v>
      </c>
      <c r="D721" s="2">
        <v>193</v>
      </c>
      <c r="E721" s="2" t="s">
        <v>9</v>
      </c>
      <c r="F721" s="2" t="s">
        <v>13</v>
      </c>
      <c r="G721" s="2" t="s">
        <v>14</v>
      </c>
      <c r="H721" s="4">
        <v>30</v>
      </c>
      <c r="I72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2" spans="1:9">
      <c r="A722" s="2" t="s">
        <v>303</v>
      </c>
      <c r="B722" s="2" t="s">
        <v>8</v>
      </c>
      <c r="C722" s="3">
        <v>44530</v>
      </c>
      <c r="D722" s="2">
        <v>196</v>
      </c>
      <c r="E722" s="2" t="s">
        <v>9</v>
      </c>
      <c r="F722" s="2" t="s">
        <v>13</v>
      </c>
      <c r="G722" s="2" t="s">
        <v>14</v>
      </c>
      <c r="H722" s="4">
        <v>30</v>
      </c>
      <c r="I72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3" spans="1:9">
      <c r="A723" s="2" t="s">
        <v>304</v>
      </c>
      <c r="B723" s="2" t="s">
        <v>12</v>
      </c>
      <c r="C723" s="3">
        <v>44530</v>
      </c>
      <c r="D723" s="2">
        <v>197</v>
      </c>
      <c r="E723" s="2" t="s">
        <v>9</v>
      </c>
      <c r="F723" s="2" t="s">
        <v>13</v>
      </c>
      <c r="G723" s="2" t="s">
        <v>14</v>
      </c>
      <c r="H723" s="4">
        <v>30</v>
      </c>
      <c r="I72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4" spans="1:9">
      <c r="A724" s="2" t="s">
        <v>305</v>
      </c>
      <c r="B724" s="2" t="s">
        <v>12</v>
      </c>
      <c r="C724" s="3">
        <v>44530</v>
      </c>
      <c r="D724" s="2">
        <v>198</v>
      </c>
      <c r="E724" s="2" t="s">
        <v>9</v>
      </c>
      <c r="F724" s="2" t="s">
        <v>13</v>
      </c>
      <c r="G724" s="2" t="s">
        <v>14</v>
      </c>
      <c r="H724" s="4">
        <v>30</v>
      </c>
      <c r="I72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5" spans="1:9">
      <c r="A725" s="2" t="s">
        <v>306</v>
      </c>
      <c r="B725" s="2" t="s">
        <v>17</v>
      </c>
      <c r="C725" s="3">
        <v>44530</v>
      </c>
      <c r="D725" s="2">
        <v>199</v>
      </c>
      <c r="E725" s="2" t="s">
        <v>9</v>
      </c>
      <c r="F725" s="2" t="s">
        <v>13</v>
      </c>
      <c r="G725" s="2" t="s">
        <v>14</v>
      </c>
      <c r="H725" s="4">
        <v>30</v>
      </c>
      <c r="I72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6" spans="1:9">
      <c r="A726" s="2" t="s">
        <v>307</v>
      </c>
      <c r="B726" s="2" t="s">
        <v>17</v>
      </c>
      <c r="C726" s="3">
        <v>44530</v>
      </c>
      <c r="D726" s="2">
        <v>200</v>
      </c>
      <c r="E726" s="2" t="s">
        <v>9</v>
      </c>
      <c r="F726" s="2" t="s">
        <v>13</v>
      </c>
      <c r="G726" s="2" t="s">
        <v>14</v>
      </c>
      <c r="H726" s="4">
        <v>30</v>
      </c>
      <c r="I72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7" spans="1:9">
      <c r="A727" s="2" t="s">
        <v>308</v>
      </c>
      <c r="B727" s="2" t="s">
        <v>22</v>
      </c>
      <c r="C727" s="3">
        <v>44530</v>
      </c>
      <c r="D727" s="2">
        <v>201</v>
      </c>
      <c r="E727" s="2" t="s">
        <v>9</v>
      </c>
      <c r="F727" s="2" t="s">
        <v>13</v>
      </c>
      <c r="G727" s="2" t="s">
        <v>14</v>
      </c>
      <c r="H727" s="4">
        <v>30</v>
      </c>
      <c r="I72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8" spans="1:9">
      <c r="A728" s="2" t="s">
        <v>309</v>
      </c>
      <c r="B728" s="2" t="s">
        <v>22</v>
      </c>
      <c r="C728" s="3">
        <v>44530</v>
      </c>
      <c r="D728" s="2">
        <v>202</v>
      </c>
      <c r="E728" s="2" t="s">
        <v>9</v>
      </c>
      <c r="F728" s="2" t="s">
        <v>13</v>
      </c>
      <c r="G728" s="2" t="s">
        <v>14</v>
      </c>
      <c r="H728" s="4">
        <v>30</v>
      </c>
      <c r="I72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29" spans="1:9">
      <c r="A729" s="2" t="s">
        <v>310</v>
      </c>
      <c r="B729" s="2" t="s">
        <v>8</v>
      </c>
      <c r="C729" s="3">
        <v>44530</v>
      </c>
      <c r="D729" s="2">
        <v>203</v>
      </c>
      <c r="E729" s="2" t="s">
        <v>9</v>
      </c>
      <c r="F729" s="2" t="s">
        <v>13</v>
      </c>
      <c r="G729" s="2" t="s">
        <v>14</v>
      </c>
      <c r="H729" s="4">
        <v>30</v>
      </c>
      <c r="I72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0" spans="1:9">
      <c r="A730" s="2" t="s">
        <v>315</v>
      </c>
      <c r="B730" s="2" t="s">
        <v>26</v>
      </c>
      <c r="C730" s="3">
        <v>44530</v>
      </c>
      <c r="D730" s="2">
        <v>208</v>
      </c>
      <c r="E730" s="2" t="s">
        <v>9</v>
      </c>
      <c r="F730" s="2" t="s">
        <v>13</v>
      </c>
      <c r="G730" s="2" t="s">
        <v>14</v>
      </c>
      <c r="H730" s="4">
        <v>30</v>
      </c>
      <c r="I73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1" spans="1:9">
      <c r="A731" s="2" t="s">
        <v>318</v>
      </c>
      <c r="B731" s="2" t="s">
        <v>8</v>
      </c>
      <c r="C731" s="3">
        <v>44530</v>
      </c>
      <c r="D731" s="2">
        <v>211</v>
      </c>
      <c r="E731" s="2" t="s">
        <v>9</v>
      </c>
      <c r="F731" s="2" t="s">
        <v>13</v>
      </c>
      <c r="G731" s="2" t="s">
        <v>14</v>
      </c>
      <c r="H731" s="4">
        <v>30</v>
      </c>
      <c r="I73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2" spans="1:9">
      <c r="A732" s="2" t="s">
        <v>319</v>
      </c>
      <c r="B732" s="2" t="s">
        <v>12</v>
      </c>
      <c r="C732" s="3">
        <v>44530</v>
      </c>
      <c r="D732" s="2">
        <v>212</v>
      </c>
      <c r="E732" s="2" t="s">
        <v>9</v>
      </c>
      <c r="F732" s="2" t="s">
        <v>13</v>
      </c>
      <c r="G732" s="2" t="s">
        <v>14</v>
      </c>
      <c r="H732" s="4">
        <v>30</v>
      </c>
      <c r="I73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3" spans="1:9">
      <c r="A733" s="2" t="s">
        <v>320</v>
      </c>
      <c r="B733" s="2" t="s">
        <v>12</v>
      </c>
      <c r="C733" s="3">
        <v>44530</v>
      </c>
      <c r="D733" s="2">
        <v>213</v>
      </c>
      <c r="E733" s="2" t="s">
        <v>9</v>
      </c>
      <c r="F733" s="2" t="s">
        <v>13</v>
      </c>
      <c r="G733" s="2" t="s">
        <v>14</v>
      </c>
      <c r="H733" s="4">
        <v>30</v>
      </c>
      <c r="I73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4" spans="1:9">
      <c r="A734" s="2" t="s">
        <v>321</v>
      </c>
      <c r="B734" s="2" t="s">
        <v>17</v>
      </c>
      <c r="C734" s="3">
        <v>44530</v>
      </c>
      <c r="D734" s="2">
        <v>214</v>
      </c>
      <c r="E734" s="2" t="s">
        <v>9</v>
      </c>
      <c r="F734" s="2" t="s">
        <v>13</v>
      </c>
      <c r="G734" s="2" t="s">
        <v>14</v>
      </c>
      <c r="H734" s="4">
        <v>30</v>
      </c>
      <c r="I73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5" spans="1:9">
      <c r="A735" s="2" t="s">
        <v>322</v>
      </c>
      <c r="B735" s="2" t="s">
        <v>17</v>
      </c>
      <c r="C735" s="3">
        <v>44530</v>
      </c>
      <c r="D735" s="2">
        <v>215</v>
      </c>
      <c r="E735" s="2" t="s">
        <v>9</v>
      </c>
      <c r="F735" s="2" t="s">
        <v>13</v>
      </c>
      <c r="G735" s="2" t="s">
        <v>14</v>
      </c>
      <c r="H735" s="4">
        <v>30</v>
      </c>
      <c r="I73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6" spans="1:9">
      <c r="A736" s="2" t="s">
        <v>323</v>
      </c>
      <c r="B736" s="2" t="s">
        <v>22</v>
      </c>
      <c r="C736" s="3">
        <v>44530</v>
      </c>
      <c r="D736" s="2">
        <v>216</v>
      </c>
      <c r="E736" s="2" t="s">
        <v>9</v>
      </c>
      <c r="F736" s="2" t="s">
        <v>13</v>
      </c>
      <c r="G736" s="2" t="s">
        <v>14</v>
      </c>
      <c r="H736" s="4">
        <v>30</v>
      </c>
      <c r="I73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7" spans="1:9">
      <c r="A737" s="2" t="s">
        <v>324</v>
      </c>
      <c r="B737" s="2" t="s">
        <v>22</v>
      </c>
      <c r="C737" s="3">
        <v>44530</v>
      </c>
      <c r="D737" s="2">
        <v>217</v>
      </c>
      <c r="E737" s="2" t="s">
        <v>9</v>
      </c>
      <c r="F737" s="2" t="s">
        <v>13</v>
      </c>
      <c r="G737" s="2" t="s">
        <v>14</v>
      </c>
      <c r="H737" s="4">
        <v>30</v>
      </c>
      <c r="I73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8" spans="1:9">
      <c r="A738" s="2" t="s">
        <v>325</v>
      </c>
      <c r="B738" s="2" t="s">
        <v>8</v>
      </c>
      <c r="C738" s="3">
        <v>44530</v>
      </c>
      <c r="D738" s="2">
        <v>218</v>
      </c>
      <c r="E738" s="2" t="s">
        <v>9</v>
      </c>
      <c r="F738" s="2" t="s">
        <v>13</v>
      </c>
      <c r="G738" s="2" t="s">
        <v>14</v>
      </c>
      <c r="H738" s="4">
        <v>30</v>
      </c>
      <c r="I73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39" spans="1:9">
      <c r="A739" s="2" t="s">
        <v>330</v>
      </c>
      <c r="B739" s="2" t="s">
        <v>26</v>
      </c>
      <c r="C739" s="3">
        <v>44530</v>
      </c>
      <c r="D739" s="2">
        <v>223</v>
      </c>
      <c r="E739" s="2" t="s">
        <v>9</v>
      </c>
      <c r="F739" s="2" t="s">
        <v>13</v>
      </c>
      <c r="G739" s="2" t="s">
        <v>14</v>
      </c>
      <c r="H739" s="4">
        <v>30</v>
      </c>
      <c r="I73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0" spans="1:9">
      <c r="A740" s="2" t="s">
        <v>333</v>
      </c>
      <c r="B740" s="2" t="s">
        <v>8</v>
      </c>
      <c r="C740" s="3">
        <v>44530</v>
      </c>
      <c r="D740" s="2">
        <v>226</v>
      </c>
      <c r="E740" s="2" t="s">
        <v>9</v>
      </c>
      <c r="F740" s="2" t="s">
        <v>13</v>
      </c>
      <c r="G740" s="2" t="s">
        <v>14</v>
      </c>
      <c r="H740" s="4">
        <v>30</v>
      </c>
      <c r="I74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1" spans="1:9">
      <c r="A741" s="2" t="s">
        <v>334</v>
      </c>
      <c r="B741" s="2" t="s">
        <v>12</v>
      </c>
      <c r="C741" s="3">
        <v>44530</v>
      </c>
      <c r="D741" s="2">
        <v>227</v>
      </c>
      <c r="E741" s="2" t="s">
        <v>9</v>
      </c>
      <c r="F741" s="2" t="s">
        <v>13</v>
      </c>
      <c r="G741" s="2" t="s">
        <v>14</v>
      </c>
      <c r="H741" s="4">
        <v>30</v>
      </c>
      <c r="I74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2" spans="1:9">
      <c r="A742" s="2" t="s">
        <v>335</v>
      </c>
      <c r="B742" s="2" t="s">
        <v>12</v>
      </c>
      <c r="C742" s="3">
        <v>44530</v>
      </c>
      <c r="D742" s="2">
        <v>228</v>
      </c>
      <c r="E742" s="2" t="s">
        <v>9</v>
      </c>
      <c r="F742" s="2" t="s">
        <v>13</v>
      </c>
      <c r="G742" s="2" t="s">
        <v>14</v>
      </c>
      <c r="H742" s="4">
        <v>30</v>
      </c>
      <c r="I74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3" spans="1:9">
      <c r="A743" s="2" t="s">
        <v>336</v>
      </c>
      <c r="B743" s="2" t="s">
        <v>17</v>
      </c>
      <c r="C743" s="3">
        <v>44530</v>
      </c>
      <c r="D743" s="2">
        <v>229</v>
      </c>
      <c r="E743" s="2" t="s">
        <v>9</v>
      </c>
      <c r="F743" s="2" t="s">
        <v>13</v>
      </c>
      <c r="G743" s="2" t="s">
        <v>14</v>
      </c>
      <c r="H743" s="4">
        <v>30</v>
      </c>
      <c r="I74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4" spans="1:9">
      <c r="A744" s="2" t="s">
        <v>337</v>
      </c>
      <c r="B744" s="2" t="s">
        <v>17</v>
      </c>
      <c r="C744" s="3">
        <v>44530</v>
      </c>
      <c r="D744" s="2">
        <v>230</v>
      </c>
      <c r="E744" s="2" t="s">
        <v>9</v>
      </c>
      <c r="F744" s="2" t="s">
        <v>13</v>
      </c>
      <c r="G744" s="2" t="s">
        <v>14</v>
      </c>
      <c r="H744" s="4">
        <v>30</v>
      </c>
      <c r="I74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5" spans="1:9">
      <c r="A745" s="2" t="s">
        <v>338</v>
      </c>
      <c r="B745" s="2" t="s">
        <v>22</v>
      </c>
      <c r="C745" s="3">
        <v>44530</v>
      </c>
      <c r="D745" s="2">
        <v>231</v>
      </c>
      <c r="E745" s="2" t="s">
        <v>9</v>
      </c>
      <c r="F745" s="2" t="s">
        <v>13</v>
      </c>
      <c r="G745" s="2" t="s">
        <v>14</v>
      </c>
      <c r="H745" s="4">
        <v>30</v>
      </c>
      <c r="I74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6" spans="1:9">
      <c r="A746" s="2" t="s">
        <v>339</v>
      </c>
      <c r="B746" s="2" t="s">
        <v>22</v>
      </c>
      <c r="C746" s="3">
        <v>44530</v>
      </c>
      <c r="D746" s="2">
        <v>232</v>
      </c>
      <c r="E746" s="2" t="s">
        <v>9</v>
      </c>
      <c r="F746" s="2" t="s">
        <v>13</v>
      </c>
      <c r="G746" s="2" t="s">
        <v>14</v>
      </c>
      <c r="H746" s="4">
        <v>30</v>
      </c>
      <c r="I74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7" spans="1:9">
      <c r="A747" s="2" t="s">
        <v>96</v>
      </c>
      <c r="B747" s="2" t="s">
        <v>26</v>
      </c>
      <c r="C747" s="3">
        <v>44532</v>
      </c>
      <c r="D747" s="2">
        <v>8</v>
      </c>
      <c r="E747" s="2" t="s">
        <v>383</v>
      </c>
      <c r="F747" s="2" t="s">
        <v>10</v>
      </c>
      <c r="G747" s="2" t="s">
        <v>11</v>
      </c>
      <c r="H747" s="4">
        <v>18</v>
      </c>
      <c r="I74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8" spans="1:9">
      <c r="A748" s="2" t="s">
        <v>247</v>
      </c>
      <c r="B748" s="2" t="s">
        <v>26</v>
      </c>
      <c r="C748" s="3">
        <v>44532</v>
      </c>
      <c r="D748" s="2">
        <v>147</v>
      </c>
      <c r="E748" s="2" t="s">
        <v>9</v>
      </c>
      <c r="F748" s="2" t="s">
        <v>10</v>
      </c>
      <c r="G748" s="2" t="s">
        <v>11</v>
      </c>
      <c r="H748" s="4">
        <v>18</v>
      </c>
      <c r="I74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49" spans="1:9">
      <c r="A749" s="2" t="s">
        <v>269</v>
      </c>
      <c r="B749" s="2" t="s">
        <v>26</v>
      </c>
      <c r="C749" s="3">
        <v>44532</v>
      </c>
      <c r="D749" s="2">
        <v>162</v>
      </c>
      <c r="E749" s="2" t="s">
        <v>9</v>
      </c>
      <c r="F749" s="2" t="s">
        <v>10</v>
      </c>
      <c r="G749" s="2" t="s">
        <v>11</v>
      </c>
      <c r="H749" s="4">
        <v>18</v>
      </c>
      <c r="I74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0" spans="1:9">
      <c r="A750" s="2" t="s">
        <v>284</v>
      </c>
      <c r="B750" s="2" t="s">
        <v>26</v>
      </c>
      <c r="C750" s="3">
        <v>44532</v>
      </c>
      <c r="D750" s="2">
        <v>177</v>
      </c>
      <c r="E750" s="2" t="s">
        <v>9</v>
      </c>
      <c r="F750" s="2" t="s">
        <v>10</v>
      </c>
      <c r="G750" s="2" t="s">
        <v>11</v>
      </c>
      <c r="H750" s="4">
        <v>18</v>
      </c>
      <c r="I75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1" spans="1:9">
      <c r="A751" s="2" t="s">
        <v>299</v>
      </c>
      <c r="B751" s="2" t="s">
        <v>26</v>
      </c>
      <c r="C751" s="3">
        <v>44532</v>
      </c>
      <c r="D751" s="2">
        <v>192</v>
      </c>
      <c r="E751" s="2" t="s">
        <v>9</v>
      </c>
      <c r="F751" s="2" t="s">
        <v>10</v>
      </c>
      <c r="G751" s="2" t="s">
        <v>11</v>
      </c>
      <c r="H751" s="4">
        <v>18</v>
      </c>
      <c r="I75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2" spans="1:9">
      <c r="A752" s="2" t="s">
        <v>314</v>
      </c>
      <c r="B752" s="2" t="s">
        <v>26</v>
      </c>
      <c r="C752" s="3">
        <v>44532</v>
      </c>
      <c r="D752" s="2">
        <v>207</v>
      </c>
      <c r="E752" s="2" t="s">
        <v>9</v>
      </c>
      <c r="F752" s="2" t="s">
        <v>10</v>
      </c>
      <c r="G752" s="2" t="s">
        <v>11</v>
      </c>
      <c r="H752" s="4">
        <v>18</v>
      </c>
      <c r="I75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3" spans="1:9">
      <c r="A753" s="2" t="s">
        <v>329</v>
      </c>
      <c r="B753" s="2" t="s">
        <v>26</v>
      </c>
      <c r="C753" s="3">
        <v>44532</v>
      </c>
      <c r="D753" s="2">
        <v>222</v>
      </c>
      <c r="E753" s="2" t="s">
        <v>9</v>
      </c>
      <c r="F753" s="2" t="s">
        <v>10</v>
      </c>
      <c r="G753" s="2" t="s">
        <v>11</v>
      </c>
      <c r="H753" s="4">
        <v>18</v>
      </c>
      <c r="I75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4" spans="1:9">
      <c r="A754" s="2" t="s">
        <v>95</v>
      </c>
      <c r="B754" s="2" t="s">
        <v>22</v>
      </c>
      <c r="C754" s="3">
        <v>44536</v>
      </c>
      <c r="D754" s="2">
        <v>7</v>
      </c>
      <c r="E754" s="2" t="s">
        <v>385</v>
      </c>
      <c r="F754" s="2" t="s">
        <v>13</v>
      </c>
      <c r="G754" s="2" t="s">
        <v>25</v>
      </c>
      <c r="H754" s="4">
        <v>25</v>
      </c>
      <c r="I75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55" spans="1:9">
      <c r="A755" s="2" t="s">
        <v>246</v>
      </c>
      <c r="B755" s="2" t="s">
        <v>22</v>
      </c>
      <c r="C755" s="3">
        <v>44536</v>
      </c>
      <c r="D755" s="2">
        <v>146</v>
      </c>
      <c r="E755" s="2" t="s">
        <v>9</v>
      </c>
      <c r="F755" s="2" t="s">
        <v>24</v>
      </c>
      <c r="G755" s="2" t="s">
        <v>25</v>
      </c>
      <c r="H755" s="4">
        <v>25</v>
      </c>
      <c r="I75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56" spans="1:9">
      <c r="A756" s="2" t="s">
        <v>268</v>
      </c>
      <c r="B756" s="2" t="s">
        <v>22</v>
      </c>
      <c r="C756" s="3">
        <v>44536</v>
      </c>
      <c r="D756" s="2">
        <v>161</v>
      </c>
      <c r="E756" s="2" t="s">
        <v>9</v>
      </c>
      <c r="F756" s="2" t="s">
        <v>24</v>
      </c>
      <c r="G756" s="2" t="s">
        <v>25</v>
      </c>
      <c r="H756" s="4">
        <v>25</v>
      </c>
      <c r="I75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57" spans="1:9">
      <c r="A757" s="2" t="s">
        <v>283</v>
      </c>
      <c r="B757" s="2" t="s">
        <v>22</v>
      </c>
      <c r="C757" s="3">
        <v>44536</v>
      </c>
      <c r="D757" s="2">
        <v>176</v>
      </c>
      <c r="E757" s="2" t="s">
        <v>9</v>
      </c>
      <c r="F757" s="2" t="s">
        <v>24</v>
      </c>
      <c r="G757" s="2" t="s">
        <v>25</v>
      </c>
      <c r="H757" s="4">
        <v>25</v>
      </c>
      <c r="I75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58" spans="1:9">
      <c r="A758" s="2" t="s">
        <v>298</v>
      </c>
      <c r="B758" s="2" t="s">
        <v>22</v>
      </c>
      <c r="C758" s="3">
        <v>44536</v>
      </c>
      <c r="D758" s="2">
        <v>191</v>
      </c>
      <c r="E758" s="2" t="s">
        <v>9</v>
      </c>
      <c r="F758" s="2" t="s">
        <v>24</v>
      </c>
      <c r="G758" s="2" t="s">
        <v>25</v>
      </c>
      <c r="H758" s="4">
        <v>25</v>
      </c>
      <c r="I75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59" spans="1:9">
      <c r="A759" s="2" t="s">
        <v>313</v>
      </c>
      <c r="B759" s="2" t="s">
        <v>22</v>
      </c>
      <c r="C759" s="3">
        <v>44536</v>
      </c>
      <c r="D759" s="2">
        <v>206</v>
      </c>
      <c r="E759" s="2" t="s">
        <v>9</v>
      </c>
      <c r="F759" s="2" t="s">
        <v>24</v>
      </c>
      <c r="G759" s="2" t="s">
        <v>25</v>
      </c>
      <c r="H759" s="4">
        <v>25</v>
      </c>
      <c r="I75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60" spans="1:9">
      <c r="A760" s="2" t="s">
        <v>328</v>
      </c>
      <c r="B760" s="2" t="s">
        <v>22</v>
      </c>
      <c r="C760" s="3">
        <v>44536</v>
      </c>
      <c r="D760" s="2">
        <v>221</v>
      </c>
      <c r="E760" s="2" t="s">
        <v>9</v>
      </c>
      <c r="F760" s="2" t="s">
        <v>24</v>
      </c>
      <c r="G760" s="2" t="s">
        <v>25</v>
      </c>
      <c r="H760" s="4">
        <v>25</v>
      </c>
      <c r="I76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61" spans="1:9">
      <c r="A761" s="2" t="s">
        <v>94</v>
      </c>
      <c r="B761" s="2" t="s">
        <v>22</v>
      </c>
      <c r="C761" s="3">
        <v>44545</v>
      </c>
      <c r="D761" s="2">
        <v>6</v>
      </c>
      <c r="E761" s="2" t="s">
        <v>9</v>
      </c>
      <c r="F761" s="2" t="s">
        <v>13</v>
      </c>
      <c r="G761" s="2" t="s">
        <v>23</v>
      </c>
      <c r="H761" s="4">
        <v>18</v>
      </c>
      <c r="I76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2" spans="1:9">
      <c r="A762" s="2" t="s">
        <v>225</v>
      </c>
      <c r="B762" s="2" t="s">
        <v>22</v>
      </c>
      <c r="C762" s="3">
        <v>44545</v>
      </c>
      <c r="D762" s="2">
        <v>145</v>
      </c>
      <c r="E762" s="2" t="s">
        <v>9</v>
      </c>
      <c r="F762" s="2" t="s">
        <v>13</v>
      </c>
      <c r="G762" s="2" t="s">
        <v>23</v>
      </c>
      <c r="H762" s="4">
        <v>18</v>
      </c>
      <c r="I76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3" spans="1:9">
      <c r="A763" s="2" t="s">
        <v>267</v>
      </c>
      <c r="B763" s="2" t="s">
        <v>22</v>
      </c>
      <c r="C763" s="3">
        <v>44545</v>
      </c>
      <c r="D763" s="2">
        <v>160</v>
      </c>
      <c r="E763" s="2" t="s">
        <v>9</v>
      </c>
      <c r="F763" s="2" t="s">
        <v>13</v>
      </c>
      <c r="G763" s="2" t="s">
        <v>23</v>
      </c>
      <c r="H763" s="4">
        <v>18</v>
      </c>
      <c r="I76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4" spans="1:9">
      <c r="A764" s="2" t="s">
        <v>282</v>
      </c>
      <c r="B764" s="2" t="s">
        <v>22</v>
      </c>
      <c r="C764" s="3">
        <v>44545</v>
      </c>
      <c r="D764" s="2">
        <v>175</v>
      </c>
      <c r="E764" s="2" t="s">
        <v>9</v>
      </c>
      <c r="F764" s="2" t="s">
        <v>13</v>
      </c>
      <c r="G764" s="2" t="s">
        <v>23</v>
      </c>
      <c r="H764" s="4">
        <v>18</v>
      </c>
      <c r="I76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5" spans="1:9">
      <c r="A765" s="2" t="s">
        <v>297</v>
      </c>
      <c r="B765" s="2" t="s">
        <v>22</v>
      </c>
      <c r="C765" s="3">
        <v>44545</v>
      </c>
      <c r="D765" s="2">
        <v>190</v>
      </c>
      <c r="E765" s="2" t="s">
        <v>9</v>
      </c>
      <c r="F765" s="2" t="s">
        <v>13</v>
      </c>
      <c r="G765" s="2" t="s">
        <v>23</v>
      </c>
      <c r="H765" s="4">
        <v>18</v>
      </c>
      <c r="I76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6" spans="1:9">
      <c r="A766" s="2" t="s">
        <v>312</v>
      </c>
      <c r="B766" s="2" t="s">
        <v>22</v>
      </c>
      <c r="C766" s="3">
        <v>44545</v>
      </c>
      <c r="D766" s="2">
        <v>205</v>
      </c>
      <c r="E766" s="2" t="s">
        <v>9</v>
      </c>
      <c r="F766" s="2" t="s">
        <v>13</v>
      </c>
      <c r="G766" s="2" t="s">
        <v>23</v>
      </c>
      <c r="H766" s="4">
        <v>18</v>
      </c>
      <c r="I76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7" spans="1:9">
      <c r="A767" s="2" t="s">
        <v>327</v>
      </c>
      <c r="B767" s="2" t="s">
        <v>22</v>
      </c>
      <c r="C767" s="3">
        <v>44545</v>
      </c>
      <c r="D767" s="2">
        <v>220</v>
      </c>
      <c r="E767" s="2" t="s">
        <v>9</v>
      </c>
      <c r="F767" s="2" t="s">
        <v>13</v>
      </c>
      <c r="G767" s="2" t="s">
        <v>23</v>
      </c>
      <c r="H767" s="4">
        <v>18</v>
      </c>
      <c r="I76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8" spans="1:9">
      <c r="A768" s="2" t="s">
        <v>93</v>
      </c>
      <c r="B768" s="2" t="s">
        <v>17</v>
      </c>
      <c r="C768" s="3">
        <v>44548</v>
      </c>
      <c r="D768" s="2">
        <v>4</v>
      </c>
      <c r="E768" s="2" t="s">
        <v>384</v>
      </c>
      <c r="F768" s="2" t="s">
        <v>13</v>
      </c>
      <c r="G768" s="2" t="s">
        <v>19</v>
      </c>
      <c r="H768" s="4">
        <v>22</v>
      </c>
      <c r="I76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69" spans="1:9">
      <c r="A769" s="2" t="s">
        <v>223</v>
      </c>
      <c r="B769" s="2" t="s">
        <v>17</v>
      </c>
      <c r="C769" s="3">
        <v>44548</v>
      </c>
      <c r="D769" s="2">
        <v>143</v>
      </c>
      <c r="E769" s="2" t="s">
        <v>9</v>
      </c>
      <c r="F769" s="2" t="s">
        <v>18</v>
      </c>
      <c r="G769" s="2" t="s">
        <v>19</v>
      </c>
      <c r="H769" s="4">
        <v>22</v>
      </c>
      <c r="I76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70" spans="1:9">
      <c r="A770" s="2" t="s">
        <v>91</v>
      </c>
      <c r="B770" s="2" t="s">
        <v>12</v>
      </c>
      <c r="C770" s="3">
        <v>44555</v>
      </c>
      <c r="D770" s="2">
        <v>2</v>
      </c>
      <c r="E770" s="2" t="s">
        <v>9</v>
      </c>
      <c r="F770" s="2" t="s">
        <v>13</v>
      </c>
      <c r="G770" s="2" t="s">
        <v>14</v>
      </c>
      <c r="H770" s="4">
        <v>9</v>
      </c>
      <c r="I77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1" spans="1:9">
      <c r="A771" s="2" t="s">
        <v>92</v>
      </c>
      <c r="B771" s="2" t="s">
        <v>12</v>
      </c>
      <c r="C771" s="3">
        <v>44555</v>
      </c>
      <c r="D771" s="2">
        <v>3</v>
      </c>
      <c r="E771" s="2" t="s">
        <v>383</v>
      </c>
      <c r="F771" s="2" t="s">
        <v>15</v>
      </c>
      <c r="G771" s="2" t="s">
        <v>16</v>
      </c>
      <c r="H771" s="4">
        <v>39</v>
      </c>
      <c r="I77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72" spans="1:9">
      <c r="A772" s="2" t="s">
        <v>221</v>
      </c>
      <c r="B772" s="2" t="s">
        <v>12</v>
      </c>
      <c r="C772" s="3">
        <v>44555</v>
      </c>
      <c r="D772" s="2">
        <v>141</v>
      </c>
      <c r="E772" s="2" t="s">
        <v>9</v>
      </c>
      <c r="F772" s="2" t="s">
        <v>13</v>
      </c>
      <c r="G772" s="2" t="s">
        <v>14</v>
      </c>
      <c r="H772" s="4">
        <v>9</v>
      </c>
      <c r="I77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3" spans="1:9">
      <c r="A773" s="2" t="s">
        <v>222</v>
      </c>
      <c r="B773" s="2" t="s">
        <v>12</v>
      </c>
      <c r="C773" s="3">
        <v>44555</v>
      </c>
      <c r="D773" s="2">
        <v>142</v>
      </c>
      <c r="E773" s="2" t="s">
        <v>9</v>
      </c>
      <c r="F773" s="2" t="s">
        <v>15</v>
      </c>
      <c r="G773" s="2" t="s">
        <v>16</v>
      </c>
      <c r="H773" s="4">
        <v>39</v>
      </c>
      <c r="I77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74" spans="1:9">
      <c r="A774" s="2" t="s">
        <v>90</v>
      </c>
      <c r="B774" s="2" t="s">
        <v>8</v>
      </c>
      <c r="C774" s="3">
        <v>44560</v>
      </c>
      <c r="D774" s="2">
        <v>1</v>
      </c>
      <c r="E774" s="2" t="s">
        <v>9</v>
      </c>
      <c r="F774" s="2" t="s">
        <v>13</v>
      </c>
      <c r="G774" s="2" t="s">
        <v>16</v>
      </c>
      <c r="H774" s="4" t="e">
        <f>2/0</f>
        <v>#DIV/0!</v>
      </c>
      <c r="I774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5" spans="1:9">
      <c r="A775" s="2" t="s">
        <v>220</v>
      </c>
      <c r="B775" s="2" t="s">
        <v>8</v>
      </c>
      <c r="C775" s="3">
        <v>44560</v>
      </c>
      <c r="D775" s="2">
        <v>140</v>
      </c>
      <c r="E775" s="2" t="s">
        <v>9</v>
      </c>
      <c r="F775" s="2" t="s">
        <v>10</v>
      </c>
      <c r="G775" s="2" t="s">
        <v>11</v>
      </c>
      <c r="H775" s="4">
        <v>19</v>
      </c>
      <c r="I77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6" spans="1:9">
      <c r="A776" s="2" t="s">
        <v>222</v>
      </c>
      <c r="B776" s="2" t="s">
        <v>265</v>
      </c>
      <c r="C776" s="3">
        <v>44555</v>
      </c>
      <c r="D776" s="2">
        <v>142</v>
      </c>
      <c r="E776" s="2" t="s">
        <v>386</v>
      </c>
      <c r="F776" s="2" t="s">
        <v>15</v>
      </c>
      <c r="G776" s="2" t="s">
        <v>16</v>
      </c>
      <c r="H776" s="4">
        <v>39</v>
      </c>
      <c r="I77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77" spans="1:9">
      <c r="A777" s="2" t="s">
        <v>90</v>
      </c>
      <c r="B777" s="2" t="s">
        <v>265</v>
      </c>
      <c r="C777" s="3">
        <v>44560</v>
      </c>
      <c r="D777" s="2">
        <v>1</v>
      </c>
      <c r="E777" s="2" t="s">
        <v>387</v>
      </c>
      <c r="F777" s="2" t="s">
        <v>13</v>
      </c>
      <c r="G777" s="2" t="s">
        <v>16</v>
      </c>
      <c r="H777" s="4" t="e">
        <f>2/0</f>
        <v>#DIV/0!</v>
      </c>
      <c r="I777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8" spans="1:9">
      <c r="A778" s="2" t="s">
        <v>220</v>
      </c>
      <c r="B778" s="2" t="s">
        <v>265</v>
      </c>
      <c r="C778" s="3">
        <v>44560</v>
      </c>
      <c r="D778" s="2">
        <v>140</v>
      </c>
      <c r="E778" s="2" t="s">
        <v>388</v>
      </c>
      <c r="F778" s="2" t="s">
        <v>10</v>
      </c>
      <c r="G778" s="2" t="s">
        <v>11</v>
      </c>
      <c r="H778" s="4">
        <v>19</v>
      </c>
      <c r="I77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79" spans="1:9">
      <c r="A779" s="2" t="s">
        <v>223</v>
      </c>
      <c r="B779" s="2" t="s">
        <v>390</v>
      </c>
      <c r="C779" s="3">
        <v>44548</v>
      </c>
      <c r="D779" s="2">
        <v>143</v>
      </c>
      <c r="E779" s="2" t="s">
        <v>386</v>
      </c>
      <c r="F779" s="2" t="s">
        <v>18</v>
      </c>
      <c r="G779" s="2" t="s">
        <v>19</v>
      </c>
      <c r="H779" s="4">
        <v>22</v>
      </c>
      <c r="I779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80" spans="1:9">
      <c r="A780" s="2" t="s">
        <v>91</v>
      </c>
      <c r="B780" s="2" t="s">
        <v>12</v>
      </c>
      <c r="C780" s="3">
        <v>44555</v>
      </c>
      <c r="D780" s="2">
        <v>2</v>
      </c>
      <c r="E780" s="2" t="s">
        <v>388</v>
      </c>
      <c r="F780" s="2" t="s">
        <v>13</v>
      </c>
      <c r="G780" s="2" t="s">
        <v>14</v>
      </c>
      <c r="H780" s="4">
        <v>9</v>
      </c>
      <c r="I780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81" spans="1:9">
      <c r="A781" s="2" t="s">
        <v>92</v>
      </c>
      <c r="B781" s="2" t="s">
        <v>12</v>
      </c>
      <c r="C781" s="3">
        <v>44555</v>
      </c>
      <c r="D781" s="2">
        <v>3</v>
      </c>
      <c r="E781" s="2" t="s">
        <v>383</v>
      </c>
      <c r="F781" s="2" t="s">
        <v>15</v>
      </c>
      <c r="G781" s="2" t="s">
        <v>16</v>
      </c>
      <c r="H781" s="4">
        <v>39</v>
      </c>
      <c r="I781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82" spans="1:9">
      <c r="A782" s="2" t="s">
        <v>221</v>
      </c>
      <c r="B782" s="2" t="s">
        <v>12</v>
      </c>
      <c r="C782" s="3">
        <v>44555</v>
      </c>
      <c r="D782" s="2">
        <v>141</v>
      </c>
      <c r="E782" s="2" t="s">
        <v>9</v>
      </c>
      <c r="F782" s="2" t="s">
        <v>13</v>
      </c>
      <c r="G782" s="2" t="s">
        <v>14</v>
      </c>
      <c r="H782" s="4">
        <v>9</v>
      </c>
      <c r="I782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83" spans="1:9">
      <c r="A783" s="2" t="s">
        <v>222</v>
      </c>
      <c r="B783" s="2" t="s">
        <v>12</v>
      </c>
      <c r="C783" s="3">
        <v>44555</v>
      </c>
      <c r="D783" s="2">
        <v>142</v>
      </c>
      <c r="E783" s="2" t="s">
        <v>389</v>
      </c>
      <c r="F783" s="2" t="s">
        <v>15</v>
      </c>
      <c r="G783" s="2" t="s">
        <v>16</v>
      </c>
      <c r="H783" s="4" t="e">
        <f>39/0</f>
        <v>#DIV/0!</v>
      </c>
      <c r="I783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84" spans="1:9">
      <c r="A784" s="2" t="s">
        <v>222</v>
      </c>
      <c r="B784" s="2" t="s">
        <v>392</v>
      </c>
      <c r="C784" s="3">
        <v>44555</v>
      </c>
      <c r="D784" s="2">
        <v>142</v>
      </c>
      <c r="E784" s="2" t="s">
        <v>389</v>
      </c>
      <c r="F784" s="2" t="s">
        <v>15</v>
      </c>
      <c r="G784" s="2" t="s">
        <v>16</v>
      </c>
      <c r="H784" s="4" t="e">
        <f>39/0</f>
        <v>#DIV/0!</v>
      </c>
      <c r="I78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85" spans="1:9">
      <c r="A785" s="2" t="s">
        <v>90</v>
      </c>
      <c r="B785" s="2" t="s">
        <v>8</v>
      </c>
      <c r="C785" s="3">
        <v>44560</v>
      </c>
      <c r="D785" s="2">
        <v>1</v>
      </c>
      <c r="E785" s="2" t="s">
        <v>9</v>
      </c>
      <c r="F785" s="2" t="s">
        <v>13</v>
      </c>
      <c r="G785" s="2" t="s">
        <v>16</v>
      </c>
      <c r="H785" s="4" t="e">
        <f>2/0</f>
        <v>#DIV/0!</v>
      </c>
      <c r="I785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86" spans="1:9">
      <c r="A786" s="2" t="s">
        <v>220</v>
      </c>
      <c r="B786" s="2" t="s">
        <v>8</v>
      </c>
      <c r="C786" s="3">
        <v>44560</v>
      </c>
      <c r="D786" s="2">
        <v>140</v>
      </c>
      <c r="E786" s="2" t="s">
        <v>9</v>
      </c>
      <c r="F786" s="2" t="s">
        <v>10</v>
      </c>
      <c r="G786" s="2" t="s">
        <v>11</v>
      </c>
      <c r="H786" s="4">
        <v>19</v>
      </c>
      <c r="I786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87" spans="1:9">
      <c r="A787" s="2" t="s">
        <v>222</v>
      </c>
      <c r="B787" s="2" t="s">
        <v>265</v>
      </c>
      <c r="C787" s="3">
        <v>44555</v>
      </c>
      <c r="D787" s="2">
        <v>142</v>
      </c>
      <c r="E787" s="2" t="s">
        <v>386</v>
      </c>
      <c r="F787" s="2" t="s">
        <v>15</v>
      </c>
      <c r="G787" s="2" t="s">
        <v>16</v>
      </c>
      <c r="H787" s="4">
        <v>39</v>
      </c>
      <c r="I78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88" spans="1:9">
      <c r="A788" s="2" t="s">
        <v>90</v>
      </c>
      <c r="B788" s="2" t="s">
        <v>265</v>
      </c>
      <c r="C788" s="3">
        <v>44560</v>
      </c>
      <c r="D788" s="2">
        <v>1</v>
      </c>
      <c r="E788" s="2" t="s">
        <v>387</v>
      </c>
      <c r="F788" s="2" t="s">
        <v>13</v>
      </c>
      <c r="G788" s="2" t="s">
        <v>16</v>
      </c>
      <c r="H788" s="4" t="e">
        <f>2/0</f>
        <v>#DIV/0!</v>
      </c>
      <c r="I788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89" spans="1:9">
      <c r="A789" s="2" t="s">
        <v>220</v>
      </c>
      <c r="B789" s="2" t="s">
        <v>265</v>
      </c>
      <c r="C789" s="3">
        <v>44560</v>
      </c>
      <c r="D789" s="2">
        <v>140</v>
      </c>
      <c r="E789" s="2" t="s">
        <v>388</v>
      </c>
      <c r="F789" s="2" t="s">
        <v>10</v>
      </c>
      <c r="G789" s="2" t="s">
        <v>11</v>
      </c>
      <c r="H789" s="4">
        <v>19</v>
      </c>
      <c r="I789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90" spans="1:9">
      <c r="A790" s="2" t="s">
        <v>223</v>
      </c>
      <c r="B790" s="2" t="s">
        <v>390</v>
      </c>
      <c r="C790" s="3">
        <v>44548</v>
      </c>
      <c r="D790" s="2">
        <v>143</v>
      </c>
      <c r="E790" s="2" t="s">
        <v>386</v>
      </c>
      <c r="F790" s="2" t="s">
        <v>18</v>
      </c>
      <c r="G790" s="2" t="s">
        <v>19</v>
      </c>
      <c r="H790" s="4">
        <v>22</v>
      </c>
      <c r="I790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791" spans="1:9">
      <c r="A791" s="2" t="s">
        <v>91</v>
      </c>
      <c r="B791" s="2" t="s">
        <v>12</v>
      </c>
      <c r="C791" s="3">
        <v>44555</v>
      </c>
      <c r="D791" s="2">
        <v>2</v>
      </c>
      <c r="E791" s="2" t="s">
        <v>388</v>
      </c>
      <c r="F791" s="2" t="s">
        <v>13</v>
      </c>
      <c r="G791" s="2" t="s">
        <v>14</v>
      </c>
      <c r="H791" s="4">
        <v>9</v>
      </c>
      <c r="I791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92" spans="1:9">
      <c r="A792" s="2" t="s">
        <v>92</v>
      </c>
      <c r="B792" s="2" t="s">
        <v>12</v>
      </c>
      <c r="C792" s="3">
        <v>44555</v>
      </c>
      <c r="D792" s="2">
        <v>3</v>
      </c>
      <c r="E792" s="2" t="s">
        <v>383</v>
      </c>
      <c r="F792" s="2" t="s">
        <v>15</v>
      </c>
      <c r="G792" s="2" t="s">
        <v>16</v>
      </c>
      <c r="H792" s="4">
        <v>39</v>
      </c>
      <c r="I792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3" spans="1:9">
      <c r="A793" s="2" t="s">
        <v>221</v>
      </c>
      <c r="B793" s="2" t="s">
        <v>12</v>
      </c>
      <c r="C793" s="3">
        <v>44555</v>
      </c>
      <c r="D793" s="2">
        <v>141</v>
      </c>
      <c r="E793" s="2" t="s">
        <v>9</v>
      </c>
      <c r="F793" s="2" t="s">
        <v>13</v>
      </c>
      <c r="G793" s="2" t="s">
        <v>14</v>
      </c>
      <c r="H793" s="4">
        <v>9</v>
      </c>
      <c r="I793" s="2" t="str">
        <f>IF(OR(Revenue[[#This Row],[City]]="Kolkata",Revenue[[#This Row],[City]]="New Delhi" ),"Rajath",
IF(OR(Revenue[[#This Row],[City]]="Bengaluru",Revenue[[#This Row],[City]]="Chennai" ),"Raman",
"Amar"))</f>
        <v>Rajath</v>
      </c>
    </row>
    <row r="794" spans="1:9">
      <c r="A794" s="2" t="s">
        <v>222</v>
      </c>
      <c r="B794" s="2" t="s">
        <v>12</v>
      </c>
      <c r="C794" s="3">
        <v>44555</v>
      </c>
      <c r="D794" s="2">
        <v>142</v>
      </c>
      <c r="E794" s="2" t="s">
        <v>389</v>
      </c>
      <c r="F794" s="2" t="s">
        <v>15</v>
      </c>
      <c r="G794" s="2" t="s">
        <v>16</v>
      </c>
      <c r="H794" s="4" t="e">
        <f>39/0</f>
        <v>#DIV/0!</v>
      </c>
      <c r="I794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5" spans="1:9">
      <c r="A795" s="2" t="s">
        <v>222</v>
      </c>
      <c r="B795" s="2" t="s">
        <v>392</v>
      </c>
      <c r="C795" s="3">
        <v>44555</v>
      </c>
      <c r="D795" s="2">
        <v>142</v>
      </c>
      <c r="E795" s="2" t="s">
        <v>393</v>
      </c>
      <c r="F795" s="2" t="s">
        <v>15</v>
      </c>
      <c r="G795" s="2" t="s">
        <v>16</v>
      </c>
      <c r="H795" s="4" t="e">
        <f>39/0</f>
        <v>#DIV/0!</v>
      </c>
      <c r="I795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6" spans="1:9">
      <c r="A796" s="2" t="s">
        <v>222</v>
      </c>
      <c r="B796" s="2" t="s">
        <v>394</v>
      </c>
      <c r="C796" s="3">
        <v>44555</v>
      </c>
      <c r="D796" s="2">
        <v>142</v>
      </c>
      <c r="E796" s="2" t="s">
        <v>395</v>
      </c>
      <c r="F796" s="2" t="s">
        <v>15</v>
      </c>
      <c r="G796" s="2" t="s">
        <v>16</v>
      </c>
      <c r="H796" s="4" t="e">
        <f>NA()</f>
        <v>#N/A</v>
      </c>
      <c r="I796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7" spans="1:9">
      <c r="A797" s="2" t="s">
        <v>222</v>
      </c>
      <c r="B797" s="2" t="s">
        <v>394</v>
      </c>
      <c r="C797" s="3">
        <v>44555</v>
      </c>
      <c r="D797" s="2">
        <v>142</v>
      </c>
      <c r="E797" s="2" t="s">
        <v>395</v>
      </c>
      <c r="F797" s="2" t="s">
        <v>15</v>
      </c>
      <c r="G797" s="2" t="s">
        <v>16</v>
      </c>
      <c r="H797" s="4" t="e">
        <f>39/0</f>
        <v>#DIV/0!</v>
      </c>
      <c r="I797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8" spans="1:9">
      <c r="A798" s="2" t="s">
        <v>222</v>
      </c>
      <c r="B798" s="2" t="s">
        <v>394</v>
      </c>
      <c r="C798" s="3">
        <v>44555</v>
      </c>
      <c r="D798" s="2">
        <v>142</v>
      </c>
      <c r="E798" s="2" t="s">
        <v>395</v>
      </c>
      <c r="F798" s="2" t="s">
        <v>15</v>
      </c>
      <c r="G798" s="2" t="s">
        <v>16</v>
      </c>
      <c r="H798" s="4" t="e">
        <f>39/0</f>
        <v>#DIV/0!</v>
      </c>
      <c r="I798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799" spans="1:9">
      <c r="A799" s="2"/>
      <c r="B799" s="2" t="s">
        <v>265</v>
      </c>
      <c r="C799" s="3">
        <v>44555</v>
      </c>
      <c r="D799" s="2">
        <v>21532</v>
      </c>
      <c r="E799" s="2" t="s">
        <v>396</v>
      </c>
      <c r="F799" s="2" t="s">
        <v>15</v>
      </c>
      <c r="G799" s="2" t="s">
        <v>16</v>
      </c>
      <c r="H799" s="4" t="e">
        <f>39/0</f>
        <v>#DIV/0!</v>
      </c>
      <c r="I799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00" spans="1:9">
      <c r="A800" s="2"/>
      <c r="B800" s="2" t="s">
        <v>397</v>
      </c>
      <c r="C800" s="3">
        <v>44555</v>
      </c>
      <c r="D800" s="2">
        <v>21532</v>
      </c>
      <c r="E800" s="2" t="s">
        <v>398</v>
      </c>
      <c r="F800" s="2" t="s">
        <v>15</v>
      </c>
      <c r="G800" s="2" t="s">
        <v>16</v>
      </c>
      <c r="H800" s="4" t="e" cm="1">
        <f t="array" aca="1" ref="H800" ca="1">lokup()</f>
        <v>#NAME?</v>
      </c>
      <c r="I800" s="2" t="str">
        <f>IF(OR(Revenue[[#This Row],[City]]="Kolkata",Revenue[[#This Row],[City]]="New Delhi" ),"Rajath",
IF(OR(Revenue[[#This Row],[City]]="Bengaluru",Revenue[[#This Row],[City]]="Chennai" ),"Raman",
"Amar"))</f>
        <v>Raman</v>
      </c>
    </row>
    <row r="801" spans="1:9">
      <c r="A801" s="2"/>
      <c r="B801" s="2" t="s">
        <v>399</v>
      </c>
      <c r="C801" s="3">
        <v>44555</v>
      </c>
      <c r="D801" s="2">
        <v>100000</v>
      </c>
      <c r="E801" s="2" t="s">
        <v>400</v>
      </c>
      <c r="F801" s="2" t="s">
        <v>401</v>
      </c>
      <c r="G801" s="2" t="s">
        <v>19</v>
      </c>
      <c r="H801" s="4" t="e">
        <f>2/0</f>
        <v>#DIV/0!</v>
      </c>
      <c r="I801" s="2" t="str">
        <f>IF(OR(Revenue[[#This Row],[City]]="Kolkata",Revenue[[#This Row],[City]]="New Delhi" ),"Rajath",
IF(OR(Revenue[[#This Row],[City]]="Bengaluru",Revenue[[#This Row],[City]]="Chennai" ),"Raman",
"Amar"))</f>
        <v>Amar</v>
      </c>
    </row>
    <row r="802" spans="1:9">
      <c r="A802" s="14"/>
      <c r="B802" s="14" t="s">
        <v>399</v>
      </c>
      <c r="C802" s="15">
        <v>44555</v>
      </c>
      <c r="D802" s="14">
        <v>100000</v>
      </c>
      <c r="E802" s="14" t="s">
        <v>400</v>
      </c>
      <c r="F802" s="14" t="s">
        <v>401</v>
      </c>
      <c r="G802" s="14" t="s">
        <v>19</v>
      </c>
      <c r="H802" s="16" t="e">
        <f>2/0</f>
        <v>#DIV/0!</v>
      </c>
      <c r="I802" s="14" t="str">
        <f>IF(OR(Revenue[[#This Row],[City]]="Kolkata",Revenue[[#This Row],[City]]="New Delhi" ),"Rajath",
IF(OR(Revenue[[#This Row],[City]]="Bengaluru",Revenue[[#This Row],[City]]="Chennai" ),"Raman",
"Amar"))</f>
        <v>Amar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0EF7-09E4-4951-A10A-2FC0856C8789}">
  <dimension ref="A1"/>
  <sheetViews>
    <sheetView workbookViewId="0">
      <selection activeCell="D1" sqref="D1:E1048576"/>
    </sheetView>
  </sheetViews>
  <sheetFormatPr defaultRowHeight="14.4"/>
  <sheetData/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1683-0159-45E3-9231-C711AF20AC51}">
  <dimension ref="I3:M14"/>
  <sheetViews>
    <sheetView topLeftCell="F1" zoomScale="256" zoomScaleNormal="256" workbookViewId="0">
      <selection activeCell="F11" sqref="F11"/>
    </sheetView>
  </sheetViews>
  <sheetFormatPr defaultRowHeight="14.4"/>
  <sheetData>
    <row r="3" spans="9:13">
      <c r="I3">
        <v>2011</v>
      </c>
      <c r="J3" s="10" t="s">
        <v>371</v>
      </c>
      <c r="K3">
        <v>1</v>
      </c>
      <c r="M3" s="10" t="s">
        <v>375</v>
      </c>
    </row>
    <row r="4" spans="9:13">
      <c r="J4" s="10" t="s">
        <v>372</v>
      </c>
      <c r="K4">
        <v>2</v>
      </c>
    </row>
    <row r="5" spans="9:13">
      <c r="J5" s="10" t="s">
        <v>373</v>
      </c>
      <c r="K5">
        <v>3</v>
      </c>
    </row>
    <row r="6" spans="9:13">
      <c r="J6" s="10" t="s">
        <v>374</v>
      </c>
      <c r="K6">
        <v>4</v>
      </c>
    </row>
    <row r="7" spans="9:13">
      <c r="I7">
        <v>2012</v>
      </c>
      <c r="J7" s="10" t="s">
        <v>371</v>
      </c>
      <c r="K7">
        <v>1</v>
      </c>
    </row>
    <row r="8" spans="9:13">
      <c r="J8" s="10" t="s">
        <v>372</v>
      </c>
      <c r="K8">
        <v>2</v>
      </c>
    </row>
    <row r="9" spans="9:13">
      <c r="J9" s="10" t="s">
        <v>373</v>
      </c>
      <c r="K9">
        <v>3</v>
      </c>
    </row>
    <row r="10" spans="9:13">
      <c r="J10" s="10" t="s">
        <v>374</v>
      </c>
      <c r="K10">
        <v>4</v>
      </c>
    </row>
    <row r="11" spans="9:13">
      <c r="I11">
        <v>2013</v>
      </c>
      <c r="J11" s="10" t="s">
        <v>371</v>
      </c>
      <c r="K11">
        <v>1</v>
      </c>
    </row>
    <row r="12" spans="9:13">
      <c r="J12" s="10" t="s">
        <v>372</v>
      </c>
      <c r="K12">
        <v>2</v>
      </c>
    </row>
    <row r="13" spans="9:13">
      <c r="J13" s="10" t="s">
        <v>373</v>
      </c>
      <c r="K13">
        <v>3</v>
      </c>
    </row>
    <row r="14" spans="9:13">
      <c r="J14" s="10" t="s">
        <v>374</v>
      </c>
      <c r="K1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B27D-25E1-4024-AFBF-9540D6B59B69}">
  <dimension ref="F7:X16"/>
  <sheetViews>
    <sheetView topLeftCell="C1" zoomScale="140" zoomScaleNormal="140" workbookViewId="0">
      <selection activeCell="F7" sqref="F7:H15"/>
    </sheetView>
  </sheetViews>
  <sheetFormatPr defaultRowHeight="14.4"/>
  <cols>
    <col min="12" max="14" width="11" customWidth="1"/>
  </cols>
  <sheetData>
    <row r="7" spans="6:24">
      <c r="F7" t="str" cm="1">
        <f t="array" ref="F7:H15">Sales[#All]</f>
        <v>Column1</v>
      </c>
      <c r="G7" t="str">
        <v>Column2</v>
      </c>
      <c r="H7" t="str">
        <v>Column3</v>
      </c>
    </row>
    <row r="8" spans="6:24">
      <c r="F8">
        <v>4802</v>
      </c>
      <c r="G8">
        <v>3068</v>
      </c>
      <c r="H8">
        <v>4227</v>
      </c>
      <c r="L8" t="s">
        <v>368</v>
      </c>
      <c r="M8" t="s">
        <v>369</v>
      </c>
      <c r="N8" t="s">
        <v>370</v>
      </c>
      <c r="V8" cm="1">
        <f t="array" ref="V8:X15">Sales[]</f>
        <v>4802</v>
      </c>
      <c r="W8">
        <v>3068</v>
      </c>
      <c r="X8">
        <v>4227</v>
      </c>
    </row>
    <row r="9" spans="6:24">
      <c r="F9">
        <v>1642</v>
      </c>
      <c r="G9">
        <v>5955</v>
      </c>
      <c r="H9">
        <v>5536</v>
      </c>
      <c r="L9">
        <v>4802</v>
      </c>
      <c r="M9">
        <v>3068</v>
      </c>
      <c r="N9">
        <v>4227</v>
      </c>
      <c r="V9">
        <v>1642</v>
      </c>
      <c r="W9">
        <v>5955</v>
      </c>
      <c r="X9">
        <v>5536</v>
      </c>
    </row>
    <row r="10" spans="6:24">
      <c r="F10">
        <v>1566</v>
      </c>
      <c r="G10">
        <v>3684</v>
      </c>
      <c r="H10">
        <v>5041</v>
      </c>
      <c r="L10">
        <v>1642</v>
      </c>
      <c r="M10">
        <v>5955</v>
      </c>
      <c r="N10">
        <v>5536</v>
      </c>
      <c r="V10">
        <v>1566</v>
      </c>
      <c r="W10">
        <v>3684</v>
      </c>
      <c r="X10">
        <v>5041</v>
      </c>
    </row>
    <row r="11" spans="6:24">
      <c r="F11">
        <v>3936</v>
      </c>
      <c r="G11">
        <v>2245</v>
      </c>
      <c r="H11">
        <v>1551</v>
      </c>
      <c r="L11">
        <v>1566</v>
      </c>
      <c r="M11">
        <v>3684</v>
      </c>
      <c r="N11">
        <v>5041</v>
      </c>
      <c r="V11">
        <v>3936</v>
      </c>
      <c r="W11">
        <v>2245</v>
      </c>
      <c r="X11">
        <v>1551</v>
      </c>
    </row>
    <row r="12" spans="6:24">
      <c r="F12">
        <v>3608</v>
      </c>
      <c r="G12">
        <v>2849</v>
      </c>
      <c r="H12">
        <v>2613</v>
      </c>
      <c r="L12">
        <v>3936</v>
      </c>
      <c r="M12">
        <v>2245</v>
      </c>
      <c r="N12">
        <v>1551</v>
      </c>
      <c r="V12">
        <v>3608</v>
      </c>
      <c r="W12">
        <v>2849</v>
      </c>
      <c r="X12">
        <v>2613</v>
      </c>
    </row>
    <row r="13" spans="6:24">
      <c r="F13">
        <v>3675</v>
      </c>
      <c r="G13">
        <v>1591</v>
      </c>
      <c r="H13">
        <v>3814</v>
      </c>
      <c r="L13">
        <v>3608</v>
      </c>
      <c r="M13">
        <v>2849</v>
      </c>
      <c r="N13">
        <v>2613</v>
      </c>
      <c r="V13">
        <v>3675</v>
      </c>
      <c r="W13">
        <v>1591</v>
      </c>
      <c r="X13">
        <v>3814</v>
      </c>
    </row>
    <row r="14" spans="6:24">
      <c r="F14">
        <v>2350</v>
      </c>
      <c r="G14">
        <v>1195</v>
      </c>
      <c r="H14">
        <v>705</v>
      </c>
      <c r="L14">
        <v>3675</v>
      </c>
      <c r="M14">
        <v>1591</v>
      </c>
      <c r="N14">
        <v>3814</v>
      </c>
      <c r="V14">
        <v>2350</v>
      </c>
      <c r="W14">
        <v>1195</v>
      </c>
      <c r="X14">
        <v>705</v>
      </c>
    </row>
    <row r="15" spans="6:24">
      <c r="F15">
        <v>1868</v>
      </c>
      <c r="G15">
        <v>3237</v>
      </c>
      <c r="H15">
        <v>1696</v>
      </c>
      <c r="L15">
        <v>2350</v>
      </c>
      <c r="M15">
        <v>1195</v>
      </c>
      <c r="N15">
        <v>705</v>
      </c>
      <c r="V15">
        <v>1868</v>
      </c>
      <c r="W15">
        <v>3237</v>
      </c>
      <c r="X15">
        <v>1696</v>
      </c>
    </row>
    <row r="16" spans="6:24">
      <c r="L16">
        <v>1868</v>
      </c>
      <c r="M16">
        <v>3237</v>
      </c>
      <c r="N16">
        <v>1696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7472-376A-45F4-A4AC-0D61FB7CF3D4}">
  <sheetPr codeName="Sheet6"/>
  <dimension ref="A1:O24"/>
  <sheetViews>
    <sheetView workbookViewId="0">
      <selection activeCell="M24" sqref="M24"/>
    </sheetView>
  </sheetViews>
  <sheetFormatPr defaultRowHeight="14.4"/>
  <sheetData>
    <row r="1" spans="1:15">
      <c r="B1" s="13">
        <v>2015</v>
      </c>
      <c r="C1" s="13"/>
      <c r="D1" s="13">
        <v>2016</v>
      </c>
      <c r="E1" s="13"/>
      <c r="F1" s="13">
        <v>2017</v>
      </c>
      <c r="G1" s="13"/>
      <c r="H1" s="13">
        <v>2018</v>
      </c>
      <c r="I1" s="13"/>
      <c r="J1" s="13">
        <v>2019</v>
      </c>
      <c r="K1" s="13"/>
      <c r="L1" s="13">
        <v>2020</v>
      </c>
      <c r="M1" s="13"/>
      <c r="N1" s="13">
        <v>2021</v>
      </c>
      <c r="O1" s="13"/>
    </row>
    <row r="2" spans="1:15">
      <c r="A2" s="6" t="s">
        <v>226</v>
      </c>
      <c r="B2" s="6" t="s">
        <v>227</v>
      </c>
      <c r="C2" s="6" t="s">
        <v>228</v>
      </c>
      <c r="D2" s="6" t="s">
        <v>227</v>
      </c>
      <c r="E2" s="6" t="s">
        <v>228</v>
      </c>
      <c r="F2" s="6" t="s">
        <v>227</v>
      </c>
      <c r="G2" s="6" t="s">
        <v>228</v>
      </c>
      <c r="H2" s="6" t="s">
        <v>227</v>
      </c>
      <c r="I2" s="6" t="s">
        <v>228</v>
      </c>
      <c r="J2" s="6" t="s">
        <v>227</v>
      </c>
      <c r="K2" s="6" t="s">
        <v>228</v>
      </c>
      <c r="L2" s="6" t="s">
        <v>227</v>
      </c>
      <c r="M2" s="6" t="s">
        <v>228</v>
      </c>
      <c r="N2" s="6" t="s">
        <v>227</v>
      </c>
      <c r="O2" s="6" t="s">
        <v>228</v>
      </c>
    </row>
    <row r="3" spans="1:15">
      <c r="A3" s="6" t="s">
        <v>229</v>
      </c>
      <c r="B3">
        <v>504</v>
      </c>
      <c r="C3">
        <v>576</v>
      </c>
      <c r="D3">
        <v>529</v>
      </c>
      <c r="E3">
        <v>557</v>
      </c>
      <c r="F3">
        <v>555</v>
      </c>
      <c r="G3">
        <v>524</v>
      </c>
      <c r="H3">
        <v>580</v>
      </c>
      <c r="I3">
        <v>597</v>
      </c>
      <c r="J3">
        <v>598</v>
      </c>
      <c r="K3">
        <v>600</v>
      </c>
      <c r="L3">
        <v>583</v>
      </c>
      <c r="M3">
        <v>552</v>
      </c>
      <c r="N3">
        <v>1492</v>
      </c>
      <c r="O3">
        <v>3371</v>
      </c>
    </row>
    <row r="4" spans="1:15">
      <c r="A4" s="6" t="s">
        <v>230</v>
      </c>
      <c r="B4">
        <v>590</v>
      </c>
      <c r="C4">
        <v>543</v>
      </c>
      <c r="D4">
        <v>592</v>
      </c>
      <c r="E4">
        <v>545</v>
      </c>
      <c r="F4">
        <v>564</v>
      </c>
      <c r="G4">
        <v>540</v>
      </c>
      <c r="H4">
        <v>590</v>
      </c>
      <c r="I4">
        <v>513</v>
      </c>
      <c r="J4">
        <v>577</v>
      </c>
      <c r="K4">
        <v>522</v>
      </c>
      <c r="L4">
        <v>546</v>
      </c>
      <c r="M4">
        <v>597</v>
      </c>
      <c r="N4">
        <v>509</v>
      </c>
      <c r="O4">
        <v>4961</v>
      </c>
    </row>
    <row r="5" spans="1:15">
      <c r="A5" s="6" t="s">
        <v>231</v>
      </c>
      <c r="B5">
        <v>534</v>
      </c>
      <c r="C5">
        <v>569</v>
      </c>
      <c r="D5">
        <v>546</v>
      </c>
      <c r="E5">
        <v>502</v>
      </c>
      <c r="F5">
        <v>521</v>
      </c>
      <c r="G5">
        <v>550</v>
      </c>
      <c r="H5">
        <v>548</v>
      </c>
      <c r="I5">
        <v>557</v>
      </c>
      <c r="J5">
        <v>537</v>
      </c>
      <c r="K5">
        <v>564</v>
      </c>
      <c r="L5">
        <v>552</v>
      </c>
      <c r="M5">
        <v>589</v>
      </c>
      <c r="N5">
        <v>988</v>
      </c>
      <c r="O5">
        <v>3220</v>
      </c>
    </row>
    <row r="6" spans="1:15">
      <c r="A6" s="6" t="s">
        <v>232</v>
      </c>
      <c r="B6">
        <v>550</v>
      </c>
      <c r="C6">
        <v>520</v>
      </c>
      <c r="D6">
        <v>544</v>
      </c>
      <c r="E6">
        <v>507</v>
      </c>
      <c r="F6">
        <v>558</v>
      </c>
      <c r="G6">
        <v>543</v>
      </c>
      <c r="H6">
        <v>550</v>
      </c>
      <c r="I6">
        <v>551</v>
      </c>
      <c r="J6">
        <v>540</v>
      </c>
      <c r="K6">
        <v>553</v>
      </c>
      <c r="L6">
        <v>577</v>
      </c>
      <c r="M6">
        <v>514</v>
      </c>
      <c r="N6">
        <v>3467</v>
      </c>
      <c r="O6">
        <v>3471</v>
      </c>
    </row>
    <row r="7" spans="1:15">
      <c r="A7" s="6" t="s">
        <v>233</v>
      </c>
      <c r="B7">
        <v>510</v>
      </c>
      <c r="C7">
        <v>509</v>
      </c>
      <c r="D7">
        <v>516</v>
      </c>
      <c r="E7">
        <v>519</v>
      </c>
      <c r="F7">
        <v>566</v>
      </c>
      <c r="G7">
        <v>522</v>
      </c>
      <c r="H7">
        <v>538</v>
      </c>
      <c r="I7">
        <v>597</v>
      </c>
      <c r="J7">
        <v>538</v>
      </c>
      <c r="K7">
        <v>595</v>
      </c>
      <c r="L7">
        <v>513</v>
      </c>
      <c r="M7">
        <v>510</v>
      </c>
      <c r="N7">
        <v>823</v>
      </c>
      <c r="O7">
        <v>1723</v>
      </c>
    </row>
    <row r="8" spans="1:15">
      <c r="A8" s="6" t="s">
        <v>234</v>
      </c>
      <c r="B8">
        <v>569</v>
      </c>
      <c r="C8">
        <v>570</v>
      </c>
      <c r="D8">
        <v>588</v>
      </c>
      <c r="E8">
        <v>524</v>
      </c>
      <c r="F8">
        <v>533</v>
      </c>
      <c r="G8">
        <v>525</v>
      </c>
      <c r="H8">
        <v>546</v>
      </c>
      <c r="I8">
        <v>524</v>
      </c>
      <c r="J8">
        <v>573</v>
      </c>
      <c r="K8">
        <v>593</v>
      </c>
      <c r="L8">
        <v>531</v>
      </c>
      <c r="M8">
        <v>507</v>
      </c>
      <c r="N8">
        <v>4256</v>
      </c>
      <c r="O8">
        <v>1776</v>
      </c>
    </row>
    <row r="9" spans="1:15">
      <c r="A9" s="6" t="s">
        <v>235</v>
      </c>
      <c r="B9">
        <v>524</v>
      </c>
      <c r="C9">
        <v>533</v>
      </c>
      <c r="D9">
        <v>595</v>
      </c>
      <c r="E9">
        <v>582</v>
      </c>
      <c r="F9">
        <v>515</v>
      </c>
      <c r="G9">
        <v>582</v>
      </c>
      <c r="H9">
        <v>547</v>
      </c>
      <c r="I9">
        <v>538</v>
      </c>
      <c r="J9">
        <v>547</v>
      </c>
      <c r="K9">
        <v>524</v>
      </c>
      <c r="L9">
        <v>527</v>
      </c>
      <c r="M9">
        <v>551</v>
      </c>
      <c r="N9">
        <v>4892</v>
      </c>
      <c r="O9">
        <v>3878</v>
      </c>
    </row>
    <row r="10" spans="1:15">
      <c r="A10" s="6" t="s">
        <v>236</v>
      </c>
      <c r="B10">
        <v>545</v>
      </c>
      <c r="C10">
        <v>508</v>
      </c>
      <c r="D10">
        <v>585</v>
      </c>
      <c r="E10">
        <v>572</v>
      </c>
      <c r="F10">
        <v>591</v>
      </c>
      <c r="G10">
        <v>578</v>
      </c>
      <c r="H10">
        <v>598</v>
      </c>
      <c r="I10">
        <v>596</v>
      </c>
      <c r="J10">
        <v>600</v>
      </c>
      <c r="K10">
        <v>555</v>
      </c>
      <c r="L10">
        <v>525</v>
      </c>
      <c r="M10">
        <v>546</v>
      </c>
      <c r="N10">
        <v>3562</v>
      </c>
      <c r="O10">
        <v>2924</v>
      </c>
    </row>
    <row r="11" spans="1:15">
      <c r="A11" s="6" t="s">
        <v>237</v>
      </c>
      <c r="B11">
        <v>507</v>
      </c>
      <c r="C11">
        <v>501</v>
      </c>
      <c r="D11">
        <v>565</v>
      </c>
      <c r="E11">
        <v>513</v>
      </c>
      <c r="F11">
        <v>508</v>
      </c>
      <c r="G11">
        <v>548</v>
      </c>
      <c r="H11">
        <v>511</v>
      </c>
      <c r="I11">
        <v>510</v>
      </c>
      <c r="J11">
        <v>549</v>
      </c>
      <c r="K11">
        <v>562</v>
      </c>
      <c r="L11">
        <v>507</v>
      </c>
      <c r="M11">
        <v>521</v>
      </c>
      <c r="N11">
        <v>3495</v>
      </c>
      <c r="O11">
        <v>2535</v>
      </c>
    </row>
    <row r="12" spans="1:15">
      <c r="A12" s="6" t="s">
        <v>238</v>
      </c>
      <c r="B12">
        <v>535</v>
      </c>
      <c r="C12">
        <v>524</v>
      </c>
      <c r="D12">
        <v>539</v>
      </c>
      <c r="E12">
        <v>541</v>
      </c>
      <c r="F12">
        <v>504</v>
      </c>
      <c r="G12">
        <v>513</v>
      </c>
      <c r="H12">
        <v>504</v>
      </c>
      <c r="I12">
        <v>577</v>
      </c>
      <c r="J12">
        <v>591</v>
      </c>
      <c r="K12">
        <v>561</v>
      </c>
      <c r="L12">
        <v>528</v>
      </c>
      <c r="M12">
        <v>551</v>
      </c>
      <c r="N12">
        <v>3146</v>
      </c>
      <c r="O12">
        <v>3330</v>
      </c>
    </row>
    <row r="13" spans="1:15">
      <c r="A13" s="6" t="s">
        <v>239</v>
      </c>
      <c r="B13">
        <v>553</v>
      </c>
      <c r="C13">
        <v>516</v>
      </c>
      <c r="D13">
        <v>594</v>
      </c>
      <c r="E13">
        <v>596</v>
      </c>
      <c r="F13">
        <v>530</v>
      </c>
      <c r="G13">
        <v>586</v>
      </c>
      <c r="H13">
        <v>527</v>
      </c>
      <c r="I13">
        <v>544</v>
      </c>
      <c r="J13">
        <v>581</v>
      </c>
      <c r="K13">
        <v>520</v>
      </c>
      <c r="L13">
        <v>542</v>
      </c>
      <c r="M13">
        <v>509</v>
      </c>
      <c r="N13">
        <v>3893</v>
      </c>
      <c r="O13">
        <v>5279</v>
      </c>
    </row>
    <row r="14" spans="1:15">
      <c r="A14" s="6" t="s">
        <v>240</v>
      </c>
      <c r="B14">
        <v>599</v>
      </c>
      <c r="C14">
        <v>525</v>
      </c>
      <c r="D14">
        <v>542</v>
      </c>
      <c r="E14">
        <v>543</v>
      </c>
      <c r="F14">
        <v>579</v>
      </c>
      <c r="G14">
        <v>518</v>
      </c>
      <c r="H14">
        <v>517</v>
      </c>
      <c r="I14">
        <v>518</v>
      </c>
      <c r="J14">
        <v>562</v>
      </c>
      <c r="K14">
        <v>575</v>
      </c>
      <c r="L14">
        <v>549</v>
      </c>
      <c r="M14">
        <v>533</v>
      </c>
      <c r="N14">
        <v>1565</v>
      </c>
      <c r="O14">
        <v>5880</v>
      </c>
    </row>
    <row r="15" spans="1:15">
      <c r="A15" s="6" t="s">
        <v>241</v>
      </c>
      <c r="B15">
        <v>580</v>
      </c>
      <c r="C15">
        <v>517</v>
      </c>
      <c r="D15">
        <v>585</v>
      </c>
      <c r="E15">
        <v>525</v>
      </c>
      <c r="F15">
        <v>598</v>
      </c>
      <c r="G15">
        <v>521</v>
      </c>
      <c r="H15">
        <v>577</v>
      </c>
      <c r="I15">
        <v>563</v>
      </c>
      <c r="J15">
        <v>568</v>
      </c>
      <c r="K15">
        <v>527</v>
      </c>
      <c r="L15">
        <v>508</v>
      </c>
      <c r="M15">
        <v>536</v>
      </c>
      <c r="N15">
        <v>1467</v>
      </c>
      <c r="O15">
        <v>4807</v>
      </c>
    </row>
    <row r="16" spans="1:15">
      <c r="A16" s="6" t="s">
        <v>242</v>
      </c>
      <c r="B16">
        <v>519</v>
      </c>
      <c r="C16">
        <v>545</v>
      </c>
      <c r="D16">
        <v>549</v>
      </c>
      <c r="E16">
        <v>521</v>
      </c>
      <c r="F16">
        <v>522</v>
      </c>
      <c r="G16">
        <v>596</v>
      </c>
      <c r="H16">
        <v>586</v>
      </c>
      <c r="I16">
        <v>510</v>
      </c>
      <c r="J16">
        <v>510</v>
      </c>
      <c r="K16">
        <v>501</v>
      </c>
      <c r="L16">
        <v>587</v>
      </c>
      <c r="M16">
        <v>514</v>
      </c>
      <c r="N16">
        <v>5270</v>
      </c>
      <c r="O16">
        <v>1249</v>
      </c>
    </row>
    <row r="17" spans="1:15">
      <c r="A17" s="6" t="s">
        <v>243</v>
      </c>
      <c r="B17">
        <v>506</v>
      </c>
      <c r="C17">
        <v>576</v>
      </c>
      <c r="D17">
        <v>519</v>
      </c>
      <c r="E17">
        <v>580</v>
      </c>
      <c r="F17">
        <v>504</v>
      </c>
      <c r="G17">
        <v>579</v>
      </c>
      <c r="H17">
        <v>517</v>
      </c>
      <c r="I17">
        <v>562</v>
      </c>
      <c r="J17">
        <v>520</v>
      </c>
      <c r="K17">
        <v>590</v>
      </c>
      <c r="L17">
        <v>583</v>
      </c>
      <c r="M17">
        <v>544</v>
      </c>
      <c r="N17">
        <v>4668</v>
      </c>
      <c r="O17">
        <v>4107</v>
      </c>
    </row>
    <row r="18" spans="1:15">
      <c r="A18" s="6" t="s">
        <v>244</v>
      </c>
      <c r="B18">
        <v>531</v>
      </c>
      <c r="C18">
        <v>500</v>
      </c>
      <c r="D18">
        <v>505</v>
      </c>
      <c r="E18">
        <v>542</v>
      </c>
      <c r="F18">
        <v>560</v>
      </c>
      <c r="G18">
        <v>568</v>
      </c>
      <c r="H18">
        <v>516</v>
      </c>
      <c r="I18">
        <v>542</v>
      </c>
      <c r="J18">
        <v>549</v>
      </c>
      <c r="K18">
        <v>517</v>
      </c>
      <c r="L18">
        <v>570</v>
      </c>
      <c r="M18">
        <v>520</v>
      </c>
      <c r="N18">
        <v>2362</v>
      </c>
      <c r="O18">
        <v>5009</v>
      </c>
    </row>
    <row r="19" spans="1:15">
      <c r="A19" s="6" t="s">
        <v>245</v>
      </c>
      <c r="B19">
        <v>547</v>
      </c>
      <c r="C19">
        <v>520</v>
      </c>
      <c r="D19">
        <v>593</v>
      </c>
      <c r="E19">
        <v>545</v>
      </c>
      <c r="F19">
        <v>563</v>
      </c>
      <c r="G19">
        <v>574</v>
      </c>
      <c r="H19">
        <v>504</v>
      </c>
      <c r="I19">
        <v>589</v>
      </c>
      <c r="J19">
        <v>503</v>
      </c>
      <c r="K19">
        <v>502</v>
      </c>
      <c r="L19">
        <v>600</v>
      </c>
      <c r="M19">
        <v>560</v>
      </c>
      <c r="N19">
        <v>4272</v>
      </c>
      <c r="O19">
        <v>5170</v>
      </c>
    </row>
    <row r="20" spans="1:15">
      <c r="A20" s="6" t="s">
        <v>259</v>
      </c>
      <c r="B20">
        <v>580</v>
      </c>
      <c r="C20">
        <v>517</v>
      </c>
      <c r="D20">
        <v>585</v>
      </c>
      <c r="E20">
        <v>525</v>
      </c>
      <c r="F20">
        <v>598</v>
      </c>
      <c r="G20">
        <v>521</v>
      </c>
      <c r="H20">
        <v>577</v>
      </c>
      <c r="I20">
        <v>563</v>
      </c>
      <c r="J20">
        <v>568</v>
      </c>
      <c r="K20">
        <v>527</v>
      </c>
      <c r="L20">
        <v>508</v>
      </c>
      <c r="M20">
        <v>536</v>
      </c>
      <c r="N20">
        <v>1467</v>
      </c>
      <c r="O20">
        <v>4807</v>
      </c>
    </row>
    <row r="21" spans="1:15">
      <c r="A21" s="6" t="s">
        <v>260</v>
      </c>
      <c r="B21">
        <v>519</v>
      </c>
      <c r="C21">
        <v>545</v>
      </c>
      <c r="D21">
        <v>549</v>
      </c>
      <c r="E21">
        <v>521</v>
      </c>
      <c r="F21">
        <v>522</v>
      </c>
      <c r="G21">
        <v>596</v>
      </c>
      <c r="H21">
        <v>586</v>
      </c>
      <c r="I21">
        <v>510</v>
      </c>
      <c r="J21">
        <v>510</v>
      </c>
      <c r="K21">
        <v>501</v>
      </c>
      <c r="L21">
        <v>587</v>
      </c>
      <c r="M21">
        <v>514</v>
      </c>
      <c r="N21">
        <v>5270</v>
      </c>
      <c r="O21">
        <v>1249</v>
      </c>
    </row>
    <row r="22" spans="1:15">
      <c r="A22" s="6" t="s">
        <v>261</v>
      </c>
      <c r="B22">
        <v>506</v>
      </c>
      <c r="C22">
        <v>576</v>
      </c>
      <c r="D22">
        <v>519</v>
      </c>
      <c r="E22">
        <v>580</v>
      </c>
      <c r="F22">
        <v>504</v>
      </c>
      <c r="G22">
        <v>579</v>
      </c>
      <c r="H22">
        <v>517</v>
      </c>
      <c r="I22">
        <v>562</v>
      </c>
      <c r="J22">
        <v>520</v>
      </c>
      <c r="K22">
        <v>590</v>
      </c>
      <c r="L22">
        <v>583</v>
      </c>
      <c r="M22">
        <v>544</v>
      </c>
      <c r="N22">
        <v>4668</v>
      </c>
      <c r="O22">
        <v>4107</v>
      </c>
    </row>
    <row r="23" spans="1:15">
      <c r="A23" s="6" t="s">
        <v>262</v>
      </c>
      <c r="B23">
        <v>531</v>
      </c>
      <c r="C23">
        <v>500</v>
      </c>
      <c r="D23">
        <v>505</v>
      </c>
      <c r="E23">
        <v>542</v>
      </c>
      <c r="F23">
        <v>560</v>
      </c>
      <c r="G23">
        <v>568</v>
      </c>
      <c r="H23">
        <v>516</v>
      </c>
      <c r="I23">
        <v>542</v>
      </c>
      <c r="J23">
        <v>549</v>
      </c>
      <c r="K23">
        <v>517</v>
      </c>
      <c r="L23">
        <v>570</v>
      </c>
      <c r="M23">
        <v>520</v>
      </c>
      <c r="N23">
        <v>2362</v>
      </c>
      <c r="O23">
        <v>5009</v>
      </c>
    </row>
    <row r="24" spans="1:15">
      <c r="A24" s="6" t="s">
        <v>263</v>
      </c>
      <c r="B24">
        <v>547</v>
      </c>
      <c r="C24">
        <v>520</v>
      </c>
      <c r="D24">
        <v>593</v>
      </c>
      <c r="E24">
        <v>545</v>
      </c>
      <c r="F24">
        <v>563</v>
      </c>
      <c r="G24">
        <v>574</v>
      </c>
      <c r="H24">
        <v>504</v>
      </c>
      <c r="I24">
        <v>589</v>
      </c>
      <c r="J24">
        <v>503</v>
      </c>
      <c r="K24">
        <v>502</v>
      </c>
      <c r="L24">
        <v>600</v>
      </c>
      <c r="M24">
        <v>560</v>
      </c>
      <c r="N24">
        <v>4272</v>
      </c>
      <c r="O24">
        <v>5170</v>
      </c>
    </row>
  </sheetData>
  <mergeCells count="7">
    <mergeCell ref="N1:O1"/>
    <mergeCell ref="L1:M1"/>
    <mergeCell ref="B1:C1"/>
    <mergeCell ref="D1:E1"/>
    <mergeCell ref="F1:G1"/>
    <mergeCell ref="H1:I1"/>
    <mergeCell ref="J1:K1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E8055E-27A2-42AF-87B3-63C5D693AD2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Sheet4</vt:lpstr>
      <vt:lpstr>Sheet5</vt:lpstr>
      <vt:lpstr>Revenue Data</vt:lpstr>
      <vt:lpstr>Sheet3</vt:lpstr>
      <vt:lpstr>Sheet2</vt:lpstr>
      <vt:lpstr>Sheet1</vt:lpstr>
      <vt:lpstr>Bad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perep</dc:creator>
  <cp:lastModifiedBy>Vijay Perepa</cp:lastModifiedBy>
  <cp:lastPrinted>2021-11-12T09:19:56Z</cp:lastPrinted>
  <dcterms:created xsi:type="dcterms:W3CDTF">2019-03-30T05:06:04Z</dcterms:created>
  <dcterms:modified xsi:type="dcterms:W3CDTF">2026-08-14T16:37:34Z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1033-11.2.0.8292</vt:lpwstr>
  </property>
  <property fmtid="{D5CDD505-2E9C-101B-9397-08002B2CF9AE}" pid="3" name="Workbook id">
    <vt:lpwstr>3259552c-9996-460c-8182-cf8171410081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</Properties>
</file>