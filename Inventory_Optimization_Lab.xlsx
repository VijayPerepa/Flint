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ial Consumption" sheetId="1" state="visible" r:id="rId3"/>
    <sheet name="EOQ &amp; Reorder Point" sheetId="2" state="visible" r:id="rId4"/>
    <sheet name="ABC &amp; Dead Stock" sheetId="3" state="visible" r:id="rId5"/>
    <sheet name="Copilot Promp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<sst xmlns="http://schemas.openxmlformats.org/spreadsheetml/2006/main" count="86" uniqueCount="79">
  <si>
    <t xml:space="preserve">PEREPA EDU — Inventory Optimization Lab: Raw Material Consumption History</t>
  </si>
  <si>
    <t xml:space="preserve">24-month consumption for 3 key raw materials at a flexible packaging plant</t>
  </si>
  <si>
    <t xml:space="preserve">Month</t>
  </si>
  <si>
    <t xml:space="preserve">Month Index</t>
  </si>
  <si>
    <t xml:space="preserve">BOPP Film (kg)</t>
  </si>
  <si>
    <t xml:space="preserve">Solvent Ink (kg)</t>
  </si>
  <si>
    <t xml:space="preserve">Lamination Adhesive (kg)</t>
  </si>
  <si>
    <t xml:space="preserve">Festival Flag</t>
  </si>
  <si>
    <t xml:space="preserve">Blue cells = inputs. Replace with actual store-issue / consumption data from your ERP.</t>
  </si>
  <si>
    <t xml:space="preserve">Economic Order Quantity, Safety Stock &amp; Reorder Point</t>
  </si>
  <si>
    <t xml:space="preserve">All results recalculate automatically if Material Consumption or assumptions change</t>
  </si>
  <si>
    <t xml:space="preserve">Global Assumption</t>
  </si>
  <si>
    <t xml:space="preserve">Target Service Level</t>
  </si>
  <si>
    <t xml:space="preserve">Z-score =</t>
  </si>
  <si>
    <t xml:space="preserve">Material Assumptions (edit blue cells)</t>
  </si>
  <si>
    <t xml:space="preserve">Material</t>
  </si>
  <si>
    <t xml:space="preserve">Unit Cost (INR/kg)</t>
  </si>
  <si>
    <t xml:space="preserve">Ordering Cost (INR/order)</t>
  </si>
  <si>
    <t xml:space="preserve">Holding Cost (% of value/yr)</t>
  </si>
  <si>
    <t xml:space="preserve">Lead Time (days)</t>
  </si>
  <si>
    <t xml:space="preserve">BOPP Film</t>
  </si>
  <si>
    <t xml:space="preserve">Solvent Ink</t>
  </si>
  <si>
    <t xml:space="preserve">Lamination Adhesive</t>
  </si>
  <si>
    <t xml:space="preserve">Annual Demand
(last 12mo, kg)</t>
  </si>
  <si>
    <t xml:space="preserve">Avg Daily
Consumption</t>
  </si>
  <si>
    <t xml:space="preserve">Daily Demand
Std Dev</t>
  </si>
  <si>
    <t xml:space="preserve">EOQ
(order qty, kg)</t>
  </si>
  <si>
    <t xml:space="preserve">Orders
per Year</t>
  </si>
  <si>
    <t xml:space="preserve">Safety Stock
(kg)</t>
  </si>
  <si>
    <t xml:space="preserve">Reorder Point
(kg)</t>
  </si>
  <si>
    <t xml:space="preserve">Annual Holding
Cost (INR)</t>
  </si>
  <si>
    <t xml:space="preserve">Annual Ordering
Cost (INR)</t>
  </si>
  <si>
    <t xml:space="preserve">Total Annual
Cost (INR)</t>
  </si>
  <si>
    <t xml:space="preserve">Reorder Point = the stock level at which a fresh purchase order must be placed.</t>
  </si>
  <si>
    <t xml:space="preserve">EOQ = the order quantity that minimizes total (holding + ordering) cost per year.</t>
  </si>
  <si>
    <t xml:space="preserve">Try changing Lead Time or Holding Cost % above to see Reorder Point and EOQ update live (what-if analysis).</t>
  </si>
  <si>
    <t xml:space="preserve">ABC Classification &amp; Slow-Mover (Dead Stock) Flag</t>
  </si>
  <si>
    <t xml:space="preserve">Materials pre-sorted by annual consumption value (descending) — cumulative % drives the ABC class</t>
  </si>
  <si>
    <t xml:space="preserve">Reference Month (for dead-stock check)</t>
  </si>
  <si>
    <t xml:space="preserve">Material / Consumable</t>
  </si>
  <si>
    <t xml:space="preserve">Annual Consumption
Value (INR)</t>
  </si>
  <si>
    <t xml:space="preserve">% of Total</t>
  </si>
  <si>
    <t xml:space="preserve">Cumulative %</t>
  </si>
  <si>
    <t xml:space="preserve">ABC Class</t>
  </si>
  <si>
    <t xml:space="preserve">Last Movement
Month</t>
  </si>
  <si>
    <t xml:space="preserve">Months Since
Last Use</t>
  </si>
  <si>
    <t xml:space="preserve">Status</t>
  </si>
  <si>
    <t xml:space="preserve">Corrugated Boxes</t>
  </si>
  <si>
    <t xml:space="preserve">Printing Plates</t>
  </si>
  <si>
    <t xml:space="preserve">Cleaning Solvent</t>
  </si>
  <si>
    <t xml:space="preserve">Stretch Wrap Film</t>
  </si>
  <si>
    <t xml:space="preserve">Pressure Labels</t>
  </si>
  <si>
    <t xml:space="preserve">Core Tubes</t>
  </si>
  <si>
    <t xml:space="preserve">Misc Spares</t>
  </si>
  <si>
    <t xml:space="preserve">A-class items (top ~80% of value) get tight control: frequent counts, low safety margin, negotiated pricing.</t>
  </si>
  <si>
    <t xml:space="preserve">C-class items get loose control: bulk ordering, higher safety stock is cheap to hold.</t>
  </si>
  <si>
    <t xml:space="preserve">'Slow Mover' = no consumption in 3+ months from the reference month — capital sitting idle.</t>
  </si>
  <si>
    <t xml:space="preserve">How the Planner Used Copilot in Excel to Build This Inventory Model</t>
  </si>
  <si>
    <t xml:space="preserve">Training reference: prompt sequence and what Copilot generated</t>
  </si>
  <si>
    <t xml:space="preserve">Step</t>
  </si>
  <si>
    <t xml:space="preserve">Prompt Typed Into Copilot</t>
  </si>
  <si>
    <t xml:space="preserve">What Copilot Built / Which Cells</t>
  </si>
  <si>
    <t xml:space="preserve">1</t>
  </si>
  <si>
    <t xml:space="preserve">Using this 24-month consumption history, calculate the Economic Order Quantity for BOPP Film, Solvent Ink, and Lamination Adhesive. Ordering cost and holding cost % are given per material.</t>
  </si>
  <si>
    <t xml:space="preserve">'EOQ &amp; Reorder Point'!B15:E17 — Annual Demand (SUM of last 12 months), then EOQ = SQRT(2 x Annual Demand x Ordering Cost / Holding Cost per unit).</t>
  </si>
  <si>
    <t xml:space="preserve">2</t>
  </si>
  <si>
    <t xml:space="preserve">Now calculate safety stock and reorder point for each material at a 95% service level, using each material's lead time.</t>
  </si>
  <si>
    <t xml:space="preserve">'EOQ &amp; Reorder Point'!D5, G15:H17 — Z-score via NORMSINV(service level), safety stock = Z x daily demand std dev x SQRT(lead time), reorder point = avg daily consumption x lead time + safety stock.</t>
  </si>
  <si>
    <t xml:space="preserve">3</t>
  </si>
  <si>
    <t xml:space="preserve">Classify these 10 raw materials and consumables into ABC categories based on annual consumption value, sorted highest to lowest, with A up to 80% cumulative value and B up to 95%.</t>
  </si>
  <si>
    <t xml:space="preserve">'ABC &amp; Dead Stock'!C8:E17 — % of total, running cumulative %, and a nested IF for the ABC class.</t>
  </si>
  <si>
    <t xml:space="preserve">4</t>
  </si>
  <si>
    <t xml:space="preserve">Flag any material that hasn't been consumed in the last 3 months as a slow mover, based on its last movement date.</t>
  </si>
  <si>
    <t xml:space="preserve">'ABC &amp; Dead Stock'!G8:H17 — months since last use (year/month difference) and an IF flag for 'Slow Mover - Review'.</t>
  </si>
  <si>
    <t xml:space="preserve">5</t>
  </si>
  <si>
    <t xml:space="preserve">What if the ink supplier's lead time increases from 30 to 40 days — recalculate safety stock and reorder point for Solvent Ink only.</t>
  </si>
  <si>
    <t xml:space="preserve">Change 'EOQ &amp; Reorder Point'!E11 to 40 — Safety Stock (G16) and Reorder Point (H16) update automatically; no formula rewrite needed.</t>
  </si>
  <si>
    <t xml:space="preserve">Teaching point:</t>
  </si>
  <si>
    <t xml:space="preserve">Notice prompt 5 needed no new formula at all — the model was already built correctly, so a what-if is just changing one blue input cell. That is the payoff of building it as live formulas instead of a one-time calculation: the planner can stress-test supplier risk in seconds.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</si>
</sst>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m\-yy"/>
    <numFmt numFmtId="166" formatCode="0%"/>
    <numFmt numFmtId="167" formatCode="#,##0.0"/>
    <numFmt numFmtId="168" formatCode="#,##0"/>
    <numFmt numFmtId="169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FFF2CC"/>
      </patternFill>
    </fill>
    <fill>
      <patternFill patternType="solid">
        <fgColor rgb="FFFCE4E4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45627</v>
      </c>
      <c r="B5" s="5" t="n">
        <v>1</v>
      </c>
      <c r="C5" s="6" t="n">
        <v>4184</v>
      </c>
      <c r="D5" s="6" t="n">
        <v>335</v>
      </c>
      <c r="E5" s="6" t="n">
        <v>239</v>
      </c>
      <c r="F5" s="6" t="n">
        <v>1</v>
      </c>
    </row>
    <row r="6" customFormat="false" ht="15" hidden="false" customHeight="false" outlineLevel="0" collapsed="false">
      <c r="A6" s="4" t="n">
        <v>45658</v>
      </c>
      <c r="B6" s="5" t="n">
        <v>2</v>
      </c>
      <c r="C6" s="6" t="n">
        <v>3212</v>
      </c>
      <c r="D6" s="6" t="n">
        <v>267</v>
      </c>
      <c r="E6" s="6" t="n">
        <v>182</v>
      </c>
      <c r="F6" s="6" t="n">
        <v>0</v>
      </c>
    </row>
    <row r="7" customFormat="false" ht="15" hidden="false" customHeight="false" outlineLevel="0" collapsed="false">
      <c r="A7" s="4" t="n">
        <v>45689</v>
      </c>
      <c r="B7" s="5" t="n">
        <v>3</v>
      </c>
      <c r="C7" s="6" t="n">
        <v>3249</v>
      </c>
      <c r="D7" s="6" t="n">
        <v>269</v>
      </c>
      <c r="E7" s="6" t="n">
        <v>179</v>
      </c>
      <c r="F7" s="6" t="n">
        <v>0</v>
      </c>
    </row>
    <row r="8" customFormat="false" ht="15" hidden="false" customHeight="false" outlineLevel="0" collapsed="false">
      <c r="A8" s="4" t="n">
        <v>45717</v>
      </c>
      <c r="B8" s="5" t="n">
        <v>4</v>
      </c>
      <c r="C8" s="6" t="n">
        <v>3349</v>
      </c>
      <c r="D8" s="6" t="n">
        <v>263</v>
      </c>
      <c r="E8" s="6" t="n">
        <v>181</v>
      </c>
      <c r="F8" s="6" t="n">
        <v>0</v>
      </c>
    </row>
    <row r="9" customFormat="false" ht="15" hidden="false" customHeight="false" outlineLevel="0" collapsed="false">
      <c r="A9" s="4" t="n">
        <v>45748</v>
      </c>
      <c r="B9" s="5" t="n">
        <v>5</v>
      </c>
      <c r="C9" s="6" t="n">
        <v>3388</v>
      </c>
      <c r="D9" s="6" t="n">
        <v>282</v>
      </c>
      <c r="E9" s="6" t="n">
        <v>184</v>
      </c>
      <c r="F9" s="6" t="n">
        <v>0</v>
      </c>
    </row>
    <row r="10" customFormat="false" ht="15" hidden="false" customHeight="false" outlineLevel="0" collapsed="false">
      <c r="A10" s="4" t="n">
        <v>45778</v>
      </c>
      <c r="B10" s="5" t="n">
        <v>6</v>
      </c>
      <c r="C10" s="6" t="n">
        <v>3396</v>
      </c>
      <c r="D10" s="6" t="n">
        <v>281</v>
      </c>
      <c r="E10" s="6" t="n">
        <v>199</v>
      </c>
      <c r="F10" s="6" t="n">
        <v>0</v>
      </c>
    </row>
    <row r="11" customFormat="false" ht="15" hidden="false" customHeight="false" outlineLevel="0" collapsed="false">
      <c r="A11" s="4" t="n">
        <v>45809</v>
      </c>
      <c r="B11" s="5" t="n">
        <v>7</v>
      </c>
      <c r="C11" s="6" t="n">
        <v>3492</v>
      </c>
      <c r="D11" s="6" t="n">
        <v>279</v>
      </c>
      <c r="E11" s="6" t="n">
        <v>202</v>
      </c>
      <c r="F11" s="6" t="n">
        <v>0</v>
      </c>
    </row>
    <row r="12" customFormat="false" ht="15" hidden="false" customHeight="false" outlineLevel="0" collapsed="false">
      <c r="A12" s="4" t="n">
        <v>45839</v>
      </c>
      <c r="B12" s="5" t="n">
        <v>8</v>
      </c>
      <c r="C12" s="6" t="n">
        <v>3447</v>
      </c>
      <c r="D12" s="6" t="n">
        <v>291</v>
      </c>
      <c r="E12" s="6" t="n">
        <v>193</v>
      </c>
      <c r="F12" s="6" t="n">
        <v>0</v>
      </c>
    </row>
    <row r="13" customFormat="false" ht="15" hidden="false" customHeight="false" outlineLevel="0" collapsed="false">
      <c r="A13" s="4" t="n">
        <v>45870</v>
      </c>
      <c r="B13" s="5" t="n">
        <v>9</v>
      </c>
      <c r="C13" s="6" t="n">
        <v>3503</v>
      </c>
      <c r="D13" s="6" t="n">
        <v>279</v>
      </c>
      <c r="E13" s="6" t="n">
        <v>195</v>
      </c>
      <c r="F13" s="6" t="n">
        <v>0</v>
      </c>
    </row>
    <row r="14" customFormat="false" ht="15" hidden="false" customHeight="false" outlineLevel="0" collapsed="false">
      <c r="A14" s="4" t="n">
        <v>45901</v>
      </c>
      <c r="B14" s="5" t="n">
        <v>10</v>
      </c>
      <c r="C14" s="6" t="n">
        <v>3651</v>
      </c>
      <c r="D14" s="6" t="n">
        <v>284</v>
      </c>
      <c r="E14" s="6" t="n">
        <v>201</v>
      </c>
      <c r="F14" s="6" t="n">
        <v>0</v>
      </c>
    </row>
    <row r="15" customFormat="false" ht="15" hidden="false" customHeight="false" outlineLevel="0" collapsed="false">
      <c r="A15" s="4" t="n">
        <v>45931</v>
      </c>
      <c r="B15" s="5" t="n">
        <v>11</v>
      </c>
      <c r="C15" s="6" t="n">
        <v>4754</v>
      </c>
      <c r="D15" s="6" t="n">
        <v>378</v>
      </c>
      <c r="E15" s="6" t="n">
        <v>263</v>
      </c>
      <c r="F15" s="6" t="n">
        <v>1</v>
      </c>
    </row>
    <row r="16" customFormat="false" ht="15" hidden="false" customHeight="false" outlineLevel="0" collapsed="false">
      <c r="A16" s="4" t="n">
        <v>45962</v>
      </c>
      <c r="B16" s="5" t="n">
        <v>12</v>
      </c>
      <c r="C16" s="6" t="n">
        <v>4714</v>
      </c>
      <c r="D16" s="6" t="n">
        <v>376</v>
      </c>
      <c r="E16" s="6" t="n">
        <v>260</v>
      </c>
      <c r="F16" s="6" t="n">
        <v>1</v>
      </c>
    </row>
    <row r="17" customFormat="false" ht="15" hidden="false" customHeight="false" outlineLevel="0" collapsed="false">
      <c r="A17" s="4" t="n">
        <v>45992</v>
      </c>
      <c r="B17" s="5" t="n">
        <v>13</v>
      </c>
      <c r="C17" s="6" t="n">
        <v>4865</v>
      </c>
      <c r="D17" s="6" t="n">
        <v>387</v>
      </c>
      <c r="E17" s="6" t="n">
        <v>265</v>
      </c>
      <c r="F17" s="6" t="n">
        <v>1</v>
      </c>
    </row>
    <row r="18" customFormat="false" ht="15" hidden="false" customHeight="false" outlineLevel="0" collapsed="false">
      <c r="A18" s="4" t="n">
        <v>46023</v>
      </c>
      <c r="B18" s="5" t="n">
        <v>14</v>
      </c>
      <c r="C18" s="6" t="n">
        <v>3774</v>
      </c>
      <c r="D18" s="6" t="n">
        <v>301</v>
      </c>
      <c r="E18" s="6" t="n">
        <v>205</v>
      </c>
      <c r="F18" s="6" t="n">
        <v>0</v>
      </c>
    </row>
    <row r="19" customFormat="false" ht="15" hidden="false" customHeight="false" outlineLevel="0" collapsed="false">
      <c r="A19" s="4" t="n">
        <v>46054</v>
      </c>
      <c r="B19" s="5" t="n">
        <v>15</v>
      </c>
      <c r="C19" s="6" t="n">
        <v>3847</v>
      </c>
      <c r="D19" s="6" t="n">
        <v>309</v>
      </c>
      <c r="E19" s="6" t="n">
        <v>206</v>
      </c>
      <c r="F19" s="6" t="n">
        <v>0</v>
      </c>
    </row>
    <row r="20" customFormat="false" ht="15" hidden="false" customHeight="false" outlineLevel="0" collapsed="false">
      <c r="A20" s="4" t="n">
        <v>46082</v>
      </c>
      <c r="B20" s="5" t="n">
        <v>16</v>
      </c>
      <c r="C20" s="6" t="n">
        <v>3852</v>
      </c>
      <c r="D20" s="6" t="n">
        <v>309</v>
      </c>
      <c r="E20" s="6" t="n">
        <v>218</v>
      </c>
      <c r="F20" s="6" t="n">
        <v>0</v>
      </c>
    </row>
    <row r="21" customFormat="false" ht="15" hidden="false" customHeight="false" outlineLevel="0" collapsed="false">
      <c r="A21" s="4" t="n">
        <v>46113</v>
      </c>
      <c r="B21" s="5" t="n">
        <v>17</v>
      </c>
      <c r="C21" s="6" t="n">
        <v>3917</v>
      </c>
      <c r="D21" s="6" t="n">
        <v>307</v>
      </c>
      <c r="E21" s="6" t="n">
        <v>222</v>
      </c>
      <c r="F21" s="6" t="n">
        <v>0</v>
      </c>
    </row>
    <row r="22" customFormat="false" ht="15" hidden="false" customHeight="false" outlineLevel="0" collapsed="false">
      <c r="A22" s="4" t="n">
        <v>46143</v>
      </c>
      <c r="B22" s="5" t="n">
        <v>18</v>
      </c>
      <c r="C22" s="6" t="n">
        <v>3859</v>
      </c>
      <c r="D22" s="6" t="n">
        <v>312</v>
      </c>
      <c r="E22" s="6" t="n">
        <v>220</v>
      </c>
      <c r="F22" s="6" t="n">
        <v>0</v>
      </c>
    </row>
    <row r="23" customFormat="false" ht="15" hidden="false" customHeight="false" outlineLevel="0" collapsed="false">
      <c r="A23" s="4" t="n">
        <v>46174</v>
      </c>
      <c r="B23" s="5" t="n">
        <v>19</v>
      </c>
      <c r="C23" s="6" t="n">
        <v>3904</v>
      </c>
      <c r="D23" s="6" t="n">
        <v>317</v>
      </c>
      <c r="E23" s="6" t="n">
        <v>211</v>
      </c>
      <c r="F23" s="6" t="n">
        <v>0</v>
      </c>
    </row>
    <row r="24" customFormat="false" ht="15" hidden="false" customHeight="false" outlineLevel="0" collapsed="false">
      <c r="A24" s="4" t="n">
        <v>46204</v>
      </c>
      <c r="B24" s="5" t="n">
        <v>20</v>
      </c>
      <c r="C24" s="6" t="n">
        <v>4027</v>
      </c>
      <c r="D24" s="6" t="n">
        <v>325</v>
      </c>
      <c r="E24" s="6" t="n">
        <v>221</v>
      </c>
      <c r="F24" s="6" t="n">
        <v>0</v>
      </c>
    </row>
    <row r="25" customFormat="false" ht="15" hidden="false" customHeight="false" outlineLevel="0" collapsed="false">
      <c r="A25" s="4" t="n">
        <v>46235</v>
      </c>
      <c r="B25" s="5" t="n">
        <v>21</v>
      </c>
      <c r="C25" s="6" t="n">
        <v>4100</v>
      </c>
      <c r="D25" s="6" t="n">
        <v>319</v>
      </c>
      <c r="E25" s="6" t="n">
        <v>225</v>
      </c>
      <c r="F25" s="6" t="n">
        <v>0</v>
      </c>
    </row>
    <row r="26" customFormat="false" ht="15" hidden="false" customHeight="false" outlineLevel="0" collapsed="false">
      <c r="A26" s="4" t="n">
        <v>46266</v>
      </c>
      <c r="B26" s="5" t="n">
        <v>22</v>
      </c>
      <c r="C26" s="6" t="n">
        <v>4095</v>
      </c>
      <c r="D26" s="6" t="n">
        <v>328</v>
      </c>
      <c r="E26" s="6" t="n">
        <v>223</v>
      </c>
      <c r="F26" s="6" t="n">
        <v>0</v>
      </c>
    </row>
    <row r="27" customFormat="false" ht="15" hidden="false" customHeight="false" outlineLevel="0" collapsed="false">
      <c r="A27" s="4" t="n">
        <v>46296</v>
      </c>
      <c r="B27" s="5" t="n">
        <v>23</v>
      </c>
      <c r="C27" s="6" t="n">
        <v>5410</v>
      </c>
      <c r="D27" s="6" t="n">
        <v>437</v>
      </c>
      <c r="E27" s="6" t="n">
        <v>293</v>
      </c>
      <c r="F27" s="6" t="n">
        <v>1</v>
      </c>
    </row>
    <row r="28" customFormat="false" ht="15" hidden="false" customHeight="false" outlineLevel="0" collapsed="false">
      <c r="A28" s="4" t="n">
        <v>46327</v>
      </c>
      <c r="B28" s="5" t="n">
        <v>24</v>
      </c>
      <c r="C28" s="6" t="n">
        <v>5434</v>
      </c>
      <c r="D28" s="6" t="n">
        <v>423</v>
      </c>
      <c r="E28" s="6" t="n">
        <v>300</v>
      </c>
      <c r="F28" s="6" t="n">
        <v>1</v>
      </c>
    </row>
    <row r="30" customFormat="false" ht="15" hidden="false" customHeight="false" outlineLevel="0" collapsed="false">
      <c r="A30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11" min="2" style="0" width="15"/>
  </cols>
  <sheetData>
    <row r="1" customFormat="false" ht="17.35" hidden="false" customHeight="false" outlineLevel="0" collapsed="false">
      <c r="A1" s="1" t="s">
        <v>9</v>
      </c>
    </row>
    <row r="2" customFormat="false" ht="15" hidden="false" customHeight="false" outlineLevel="0" collapsed="false">
      <c r="A2" s="2" t="s">
        <v>10</v>
      </c>
    </row>
    <row r="4" customFormat="false" ht="15" hidden="false" customHeight="false" outlineLevel="0" collapsed="false">
      <c r="A4" s="7" t="s">
        <v>11</v>
      </c>
    </row>
    <row r="5" customFormat="false" ht="15" hidden="false" customHeight="false" outlineLevel="0" collapsed="false">
      <c r="A5" s="0" t="s">
        <v>12</v>
      </c>
      <c r="B5" s="8" t="n">
        <v>0.95</v>
      </c>
      <c r="C5" s="0" t="s">
        <v>13</v>
      </c>
      <c r="D5" s="7" t="n">
        <f aca="false">NORMSINV(B5)</f>
        <v>1.64485362695147</v>
      </c>
    </row>
    <row r="8" customFormat="false" ht="15" hidden="false" customHeight="false" outlineLevel="0" collapsed="false">
      <c r="A8" s="7" t="s">
        <v>14</v>
      </c>
    </row>
    <row r="9" customFormat="false" ht="30" hidden="false" customHeight="true" outlineLevel="0" collapsed="false">
      <c r="A9" s="3" t="s">
        <v>15</v>
      </c>
      <c r="B9" s="3" t="s">
        <v>16</v>
      </c>
      <c r="C9" s="3" t="s">
        <v>17</v>
      </c>
      <c r="D9" s="3" t="s">
        <v>18</v>
      </c>
      <c r="E9" s="3" t="s">
        <v>19</v>
      </c>
    </row>
    <row r="10" customFormat="false" ht="15" hidden="false" customHeight="false" outlineLevel="0" collapsed="false">
      <c r="A10" s="9" t="s">
        <v>20</v>
      </c>
      <c r="B10" s="10" t="n">
        <v>145</v>
      </c>
      <c r="C10" s="10" t="n">
        <v>8000</v>
      </c>
      <c r="D10" s="11" t="n">
        <v>0.18</v>
      </c>
      <c r="E10" s="10" t="n">
        <v>20</v>
      </c>
    </row>
    <row r="11" customFormat="false" ht="15" hidden="false" customHeight="false" outlineLevel="0" collapsed="false">
      <c r="A11" s="9" t="s">
        <v>21</v>
      </c>
      <c r="B11" s="10" t="n">
        <v>620</v>
      </c>
      <c r="C11" s="10" t="n">
        <v>5000</v>
      </c>
      <c r="D11" s="11" t="n">
        <v>0.22</v>
      </c>
      <c r="E11" s="10" t="n">
        <v>30</v>
      </c>
    </row>
    <row r="12" customFormat="false" ht="15" hidden="false" customHeight="false" outlineLevel="0" collapsed="false">
      <c r="A12" s="9" t="s">
        <v>22</v>
      </c>
      <c r="B12" s="10" t="n">
        <v>210</v>
      </c>
      <c r="C12" s="10" t="n">
        <v>4500</v>
      </c>
      <c r="D12" s="11" t="n">
        <v>0.2</v>
      </c>
      <c r="E12" s="10" t="n">
        <v>18</v>
      </c>
    </row>
    <row r="14" customFormat="false" ht="42" hidden="false" customHeight="true" outlineLevel="0" collapsed="false">
      <c r="A14" s="3" t="s">
        <v>15</v>
      </c>
      <c r="B14" s="3" t="s">
        <v>23</v>
      </c>
      <c r="C14" s="3" t="s">
        <v>24</v>
      </c>
      <c r="D14" s="3" t="s">
        <v>25</v>
      </c>
      <c r="E14" s="3" t="s">
        <v>26</v>
      </c>
      <c r="F14" s="3" t="s">
        <v>27</v>
      </c>
      <c r="G14" s="3" t="s">
        <v>28</v>
      </c>
      <c r="H14" s="3" t="s">
        <v>29</v>
      </c>
      <c r="I14" s="3" t="s">
        <v>30</v>
      </c>
      <c r="J14" s="3" t="s">
        <v>31</v>
      </c>
      <c r="K14" s="3" t="s">
        <v>32</v>
      </c>
    </row>
    <row r="15" customFormat="false" ht="15" hidden="false" customHeight="false" outlineLevel="0" collapsed="false">
      <c r="A15" s="12" t="s">
        <v>20</v>
      </c>
      <c r="B15" s="13" t="n">
        <f aca="false">SUM('Material Consumption'!$C$17:$C$28)</f>
        <v>51084</v>
      </c>
      <c r="C15" s="13" t="n">
        <f aca="false">B15/365</f>
        <v>139.956164383562</v>
      </c>
      <c r="D15" s="13" t="n">
        <f aca="false">STDEV('Material Consumption'!$C$5:$C$28)/SQRT(30)</f>
        <v>116.244962230461</v>
      </c>
      <c r="E15" s="13" t="n">
        <f aca="false">SQRT(2*B15*C10/(D10*B10))</f>
        <v>5596.05772566416</v>
      </c>
      <c r="F15" s="13" t="n">
        <f aca="false">B15/E15</f>
        <v>9.12856916498966</v>
      </c>
      <c r="G15" s="13" t="n">
        <f aca="false">$D$5*D15*SQRT(E10)</f>
        <v>855.098993696085</v>
      </c>
      <c r="H15" s="14" t="n">
        <f aca="false">C15*E10+G15</f>
        <v>3654.22228136732</v>
      </c>
      <c r="I15" s="15" t="n">
        <f aca="false">(E15/2)*B10*D10</f>
        <v>73028.5533199173</v>
      </c>
      <c r="J15" s="15" t="n">
        <f aca="false">F15*C10</f>
        <v>73028.5533199173</v>
      </c>
      <c r="K15" s="15" t="n">
        <f aca="false">I15+J15</f>
        <v>146057.106639835</v>
      </c>
    </row>
    <row r="16" customFormat="false" ht="15" hidden="false" customHeight="false" outlineLevel="0" collapsed="false">
      <c r="A16" s="12" t="s">
        <v>21</v>
      </c>
      <c r="B16" s="13" t="n">
        <f aca="false">SUM('Material Consumption'!$D$17:$D$28)</f>
        <v>4074</v>
      </c>
      <c r="C16" s="13" t="n">
        <f aca="false">B16/365</f>
        <v>11.1616438356164</v>
      </c>
      <c r="D16" s="13" t="n">
        <f aca="false">STDEV('Material Consumption'!$D$5:$D$28)/SQRT(30)</f>
        <v>8.80956605663867</v>
      </c>
      <c r="E16" s="13" t="n">
        <f aca="false">SQRT(2*B16*C11/(D11*B11))</f>
        <v>546.516561419833</v>
      </c>
      <c r="F16" s="13" t="n">
        <f aca="false">B16/E16</f>
        <v>7.45448589776653</v>
      </c>
      <c r="G16" s="13" t="n">
        <f aca="false">$D$5*D16*SQRT(E11)</f>
        <v>79.3674451503343</v>
      </c>
      <c r="H16" s="14" t="n">
        <f aca="false">C16*E11+G16</f>
        <v>414.216760218827</v>
      </c>
      <c r="I16" s="15" t="n">
        <f aca="false">(E16/2)*B11*D11</f>
        <v>37272.4294888326</v>
      </c>
      <c r="J16" s="15" t="n">
        <f aca="false">F16*C11</f>
        <v>37272.4294888326</v>
      </c>
      <c r="K16" s="15" t="n">
        <f aca="false">I16+J16</f>
        <v>74544.8589776653</v>
      </c>
    </row>
    <row r="17" customFormat="false" ht="15" hidden="false" customHeight="false" outlineLevel="0" collapsed="false">
      <c r="A17" s="12" t="s">
        <v>22</v>
      </c>
      <c r="B17" s="13" t="n">
        <f aca="false">SUM('Material Consumption'!$E$17:$E$28)</f>
        <v>2809</v>
      </c>
      <c r="C17" s="13" t="n">
        <f aca="false">B17/365</f>
        <v>7.6958904109589</v>
      </c>
      <c r="D17" s="13" t="n">
        <f aca="false">STDEV('Material Consumption'!$E$5:$E$28)/SQRT(30)</f>
        <v>6.2006262345414</v>
      </c>
      <c r="E17" s="13" t="n">
        <f aca="false">SQRT(2*B17*C12/(D12*B12))</f>
        <v>775.840557994084</v>
      </c>
      <c r="F17" s="13" t="n">
        <f aca="false">B17/E17</f>
        <v>3.62058927063906</v>
      </c>
      <c r="G17" s="13" t="n">
        <f aca="false">$D$5*D17*SQRT(E12)</f>
        <v>43.271212308874</v>
      </c>
      <c r="H17" s="14" t="n">
        <f aca="false">C17*E12+G17</f>
        <v>181.797239706134</v>
      </c>
      <c r="I17" s="15" t="n">
        <f aca="false">(E17/2)*B12*D12</f>
        <v>16292.6517178758</v>
      </c>
      <c r="J17" s="15" t="n">
        <f aca="false">F17*C12</f>
        <v>16292.6517178758</v>
      </c>
      <c r="K17" s="15" t="n">
        <f aca="false">I17+J17</f>
        <v>32585.3034357515</v>
      </c>
    </row>
    <row r="20" customFormat="false" ht="15" hidden="false" customHeight="false" outlineLevel="0" collapsed="false">
      <c r="A20" s="2" t="s">
        <v>33</v>
      </c>
    </row>
    <row r="21" customFormat="false" ht="15" hidden="false" customHeight="false" outlineLevel="0" collapsed="false">
      <c r="A21" s="2" t="s">
        <v>34</v>
      </c>
    </row>
    <row r="22" customFormat="false" ht="15" hidden="false" customHeight="false" outlineLevel="0" collapsed="false">
      <c r="A22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15" hidden="false" customHeight="false" outlineLevel="0" collapsed="false">
      <c r="A4" s="7" t="s">
        <v>38</v>
      </c>
      <c r="C4" s="16" t="n">
        <v>46327</v>
      </c>
    </row>
    <row r="7" customFormat="false" ht="37.5" hidden="false" customHeight="true" outlineLevel="0" collapsed="false">
      <c r="A7" s="3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</row>
    <row r="8" customFormat="false" ht="15" hidden="false" customHeight="false" outlineLevel="0" collapsed="false">
      <c r="A8" s="17" t="s">
        <v>20</v>
      </c>
      <c r="B8" s="15" t="n">
        <f aca="false">'EOQ &amp; Reorder Point'!B15*'EOQ &amp; Reorder Point'!B10</f>
        <v>7407180</v>
      </c>
      <c r="C8" s="18" t="n">
        <f aca="false">B8/SUM($B$8:$B$17)</f>
        <v>0.561662729992152</v>
      </c>
      <c r="D8" s="18" t="n">
        <f aca="false">C8</f>
        <v>0.561662729992152</v>
      </c>
      <c r="E8" s="19" t="str">
        <f aca="false">IF(D8&lt;=0.8,"A",IF(D8&lt;=0.95,"B","C"))</f>
        <v>A</v>
      </c>
      <c r="F8" s="20" t="n">
        <v>46327</v>
      </c>
      <c r="G8" s="19" t="n">
        <f aca="false">(YEAR($C$4)-YEAR(F8))*12+(MONTH($C$4)-MONTH(F8))</f>
        <v>0</v>
      </c>
      <c r="H8" s="19" t="str">
        <f aca="false">IF(G8&gt;3,"Slow Mover - Review","Active")</f>
        <v>Active</v>
      </c>
    </row>
    <row r="9" customFormat="false" ht="15" hidden="false" customHeight="false" outlineLevel="0" collapsed="false">
      <c r="A9" s="17" t="s">
        <v>21</v>
      </c>
      <c r="B9" s="15" t="n">
        <f aca="false">'EOQ &amp; Reorder Point'!B16*'EOQ &amp; Reorder Point'!B11</f>
        <v>2525880</v>
      </c>
      <c r="C9" s="18" t="n">
        <f aca="false">B9/SUM($B$8:$B$17)</f>
        <v>0.191529388570627</v>
      </c>
      <c r="D9" s="18" t="n">
        <f aca="false">D8+C9</f>
        <v>0.753192118562779</v>
      </c>
      <c r="E9" s="19" t="str">
        <f aca="false">IF(D9&lt;=0.8,"A",IF(D9&lt;=0.95,"B","C"))</f>
        <v>A</v>
      </c>
      <c r="F9" s="20" t="n">
        <v>46327</v>
      </c>
      <c r="G9" s="19" t="n">
        <f aca="false">(YEAR($C$4)-YEAR(F9))*12+(MONTH($C$4)-MONTH(F9))</f>
        <v>0</v>
      </c>
      <c r="H9" s="19" t="str">
        <f aca="false">IF(G9&gt;3,"Slow Mover - Review","Active")</f>
        <v>Active</v>
      </c>
    </row>
    <row r="10" customFormat="false" ht="15" hidden="false" customHeight="false" outlineLevel="0" collapsed="false">
      <c r="A10" s="17" t="s">
        <v>47</v>
      </c>
      <c r="B10" s="21" t="n">
        <v>1200000</v>
      </c>
      <c r="C10" s="18" t="n">
        <f aca="false">B10/SUM($B$8:$B$17)</f>
        <v>0.0909921557179092</v>
      </c>
      <c r="D10" s="18" t="n">
        <f aca="false">D9+C10</f>
        <v>0.844184274280688</v>
      </c>
      <c r="E10" s="19" t="str">
        <f aca="false">IF(D10&lt;=0.8,"A",IF(D10&lt;=0.95,"B","C"))</f>
        <v>B</v>
      </c>
      <c r="F10" s="20" t="n">
        <v>46327</v>
      </c>
      <c r="G10" s="19" t="n">
        <f aca="false">(YEAR($C$4)-YEAR(F10))*12+(MONTH($C$4)-MONTH(F10))</f>
        <v>0</v>
      </c>
      <c r="H10" s="19" t="str">
        <f aca="false">IF(G10&gt;3,"Slow Mover - Review","Active")</f>
        <v>Active</v>
      </c>
    </row>
    <row r="11" customFormat="false" ht="15" hidden="false" customHeight="false" outlineLevel="0" collapsed="false">
      <c r="A11" s="17" t="s">
        <v>22</v>
      </c>
      <c r="B11" s="15" t="n">
        <f aca="false">'EOQ &amp; Reorder Point'!B17*'EOQ &amp; Reorder Point'!B12</f>
        <v>589890</v>
      </c>
      <c r="C11" s="18" t="n">
        <f aca="false">B11/SUM($B$8:$B$17)</f>
        <v>0.0447294689470312</v>
      </c>
      <c r="D11" s="18" t="n">
        <f aca="false">D10+C11</f>
        <v>0.888913743227719</v>
      </c>
      <c r="E11" s="19" t="str">
        <f aca="false">IF(D11&lt;=0.8,"A",IF(D11&lt;=0.95,"B","C"))</f>
        <v>B</v>
      </c>
      <c r="F11" s="20" t="n">
        <v>46327</v>
      </c>
      <c r="G11" s="19" t="n">
        <f aca="false">(YEAR($C$4)-YEAR(F11))*12+(MONTH($C$4)-MONTH(F11))</f>
        <v>0</v>
      </c>
      <c r="H11" s="19" t="str">
        <f aca="false">IF(G11&gt;3,"Slow Mover - Review","Active")</f>
        <v>Active</v>
      </c>
    </row>
    <row r="12" customFormat="false" ht="15" hidden="false" customHeight="false" outlineLevel="0" collapsed="false">
      <c r="A12" s="17" t="s">
        <v>48</v>
      </c>
      <c r="B12" s="21" t="n">
        <v>450000</v>
      </c>
      <c r="C12" s="18" t="n">
        <f aca="false">B12/SUM($B$8:$B$17)</f>
        <v>0.0341220583942159</v>
      </c>
      <c r="D12" s="18" t="n">
        <f aca="false">D11+C12</f>
        <v>0.923035801621935</v>
      </c>
      <c r="E12" s="19" t="str">
        <f aca="false">IF(D12&lt;=0.8,"A",IF(D12&lt;=0.95,"B","C"))</f>
        <v>B</v>
      </c>
      <c r="F12" s="20" t="n">
        <v>46266</v>
      </c>
      <c r="G12" s="19" t="n">
        <f aca="false">(YEAR($C$4)-YEAR(F12))*12+(MONTH($C$4)-MONTH(F12))</f>
        <v>2</v>
      </c>
      <c r="H12" s="19" t="str">
        <f aca="false">IF(G12&gt;3,"Slow Mover - Review","Active")</f>
        <v>Active</v>
      </c>
    </row>
    <row r="13" customFormat="false" ht="15" hidden="false" customHeight="false" outlineLevel="0" collapsed="false">
      <c r="A13" s="17" t="s">
        <v>49</v>
      </c>
      <c r="B13" s="21" t="n">
        <v>380000</v>
      </c>
      <c r="C13" s="18" t="n">
        <f aca="false">B13/SUM($B$8:$B$17)</f>
        <v>0.0288141826440046</v>
      </c>
      <c r="D13" s="18" t="n">
        <f aca="false">D12+C13</f>
        <v>0.95184998426594</v>
      </c>
      <c r="E13" s="19" t="str">
        <f aca="false">IF(D13&lt;=0.8,"A",IF(D13&lt;=0.95,"B","C"))</f>
        <v>C</v>
      </c>
      <c r="F13" s="20" t="n">
        <v>46327</v>
      </c>
      <c r="G13" s="19" t="n">
        <f aca="false">(YEAR($C$4)-YEAR(F13))*12+(MONTH($C$4)-MONTH(F13))</f>
        <v>0</v>
      </c>
      <c r="H13" s="19" t="str">
        <f aca="false">IF(G13&gt;3,"Slow Mover - Review","Active")</f>
        <v>Active</v>
      </c>
    </row>
    <row r="14" customFormat="false" ht="15" hidden="false" customHeight="false" outlineLevel="0" collapsed="false">
      <c r="A14" s="17" t="s">
        <v>50</v>
      </c>
      <c r="B14" s="21" t="n">
        <v>290000</v>
      </c>
      <c r="C14" s="18" t="n">
        <f aca="false">B14/SUM($B$8:$B$17)</f>
        <v>0.0219897709651614</v>
      </c>
      <c r="D14" s="18" t="n">
        <f aca="false">D13+C14</f>
        <v>0.973839755231101</v>
      </c>
      <c r="E14" s="19" t="str">
        <f aca="false">IF(D14&lt;=0.8,"A",IF(D14&lt;=0.95,"B","C"))</f>
        <v>C</v>
      </c>
      <c r="F14" s="20" t="n">
        <v>46327</v>
      </c>
      <c r="G14" s="19" t="n">
        <f aca="false">(YEAR($C$4)-YEAR(F14))*12+(MONTH($C$4)-MONTH(F14))</f>
        <v>0</v>
      </c>
      <c r="H14" s="19" t="str">
        <f aca="false">IF(G14&gt;3,"Slow Mover - Review","Active")</f>
        <v>Active</v>
      </c>
    </row>
    <row r="15" customFormat="false" ht="15" hidden="false" customHeight="false" outlineLevel="0" collapsed="false">
      <c r="A15" s="17" t="s">
        <v>51</v>
      </c>
      <c r="B15" s="21" t="n">
        <v>210000</v>
      </c>
      <c r="C15" s="18" t="n">
        <f aca="false">B15/SUM($B$8:$B$17)</f>
        <v>0.0159236272506341</v>
      </c>
      <c r="D15" s="18" t="n">
        <f aca="false">D14+C15</f>
        <v>0.989763382481735</v>
      </c>
      <c r="E15" s="19" t="str">
        <f aca="false">IF(D15&lt;=0.8,"A",IF(D15&lt;=0.95,"B","C"))</f>
        <v>C</v>
      </c>
      <c r="F15" s="20" t="n">
        <v>46296</v>
      </c>
      <c r="G15" s="19" t="n">
        <f aca="false">(YEAR($C$4)-YEAR(F15))*12+(MONTH($C$4)-MONTH(F15))</f>
        <v>1</v>
      </c>
      <c r="H15" s="19" t="str">
        <f aca="false">IF(G15&gt;3,"Slow Mover - Review","Active")</f>
        <v>Active</v>
      </c>
    </row>
    <row r="16" customFormat="false" ht="15" hidden="false" customHeight="false" outlineLevel="0" collapsed="false">
      <c r="A16" s="22" t="s">
        <v>52</v>
      </c>
      <c r="B16" s="23" t="n">
        <v>95000</v>
      </c>
      <c r="C16" s="24" t="n">
        <f aca="false">B16/SUM($B$8:$B$17)</f>
        <v>0.00720354566100114</v>
      </c>
      <c r="D16" s="24" t="n">
        <f aca="false">D15+C16</f>
        <v>0.996966928142737</v>
      </c>
      <c r="E16" s="25" t="str">
        <f aca="false">IF(D16&lt;=0.8,"A",IF(D16&lt;=0.95,"B","C"))</f>
        <v>C</v>
      </c>
      <c r="F16" s="26" t="n">
        <v>46204</v>
      </c>
      <c r="G16" s="25" t="n">
        <f aca="false">(YEAR($C$4)-YEAR(F16))*12+(MONTH($C$4)-MONTH(F16))</f>
        <v>4</v>
      </c>
      <c r="H16" s="25" t="str">
        <f aca="false">IF(G16&gt;3,"Slow Mover - Review","Active")</f>
        <v>Slow Mover - Review</v>
      </c>
    </row>
    <row r="17" customFormat="false" ht="15" hidden="false" customHeight="false" outlineLevel="0" collapsed="false">
      <c r="A17" s="22" t="s">
        <v>53</v>
      </c>
      <c r="B17" s="23" t="n">
        <v>40000</v>
      </c>
      <c r="C17" s="24" t="n">
        <f aca="false">B17/SUM($B$8:$B$17)</f>
        <v>0.00303307185726364</v>
      </c>
      <c r="D17" s="24" t="n">
        <f aca="false">D16+C17</f>
        <v>1</v>
      </c>
      <c r="E17" s="25" t="str">
        <f aca="false">IF(D17&lt;=0.8,"A",IF(D17&lt;=0.95,"B","C"))</f>
        <v>C</v>
      </c>
      <c r="F17" s="26" t="n">
        <v>46174</v>
      </c>
      <c r="G17" s="25" t="n">
        <f aca="false">(YEAR($C$4)-YEAR(F17))*12+(MONTH($C$4)-MONTH(F17))</f>
        <v>5</v>
      </c>
      <c r="H17" s="25" t="str">
        <f aca="false">IF(G17&gt;3,"Slow Mover - Review","Active")</f>
        <v>Slow Mover - Review</v>
      </c>
    </row>
    <row r="19" customFormat="false" ht="15" hidden="false" customHeight="false" outlineLevel="0" collapsed="false">
      <c r="A19" s="2" t="s">
        <v>54</v>
      </c>
    </row>
    <row r="20" customFormat="false" ht="15" hidden="false" customHeight="false" outlineLevel="0" collapsed="false">
      <c r="A20" s="2" t="s">
        <v>55</v>
      </c>
    </row>
    <row r="21" customFormat="false" ht="15" hidden="false" customHeight="false" outlineLevel="0" collapsed="false">
      <c r="A21" s="2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55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4" customFormat="false" ht="36" hidden="false" customHeight="true" outlineLevel="0" collapsed="false">
      <c r="A4" s="3" t="s">
        <v>59</v>
      </c>
      <c r="B4" s="3" t="s">
        <v>60</v>
      </c>
      <c r="C4" s="3" t="s">
        <v>61</v>
      </c>
    </row>
    <row r="5" customFormat="false" ht="66" hidden="false" customHeight="true" outlineLevel="0" collapsed="false">
      <c r="A5" s="5" t="s">
        <v>62</v>
      </c>
      <c r="B5" s="27" t="s">
        <v>63</v>
      </c>
      <c r="C5" s="27" t="s">
        <v>64</v>
      </c>
    </row>
    <row r="6" customFormat="false" ht="66" hidden="false" customHeight="true" outlineLevel="0" collapsed="false">
      <c r="A6" s="5" t="s">
        <v>65</v>
      </c>
      <c r="B6" s="27" t="s">
        <v>66</v>
      </c>
      <c r="C6" s="27" t="s">
        <v>67</v>
      </c>
    </row>
    <row r="7" customFormat="false" ht="66" hidden="false" customHeight="true" outlineLevel="0" collapsed="false">
      <c r="A7" s="5" t="s">
        <v>68</v>
      </c>
      <c r="B7" s="27" t="s">
        <v>69</v>
      </c>
      <c r="C7" s="27" t="s">
        <v>70</v>
      </c>
    </row>
    <row r="8" customFormat="false" ht="66" hidden="false" customHeight="true" outlineLevel="0" collapsed="false">
      <c r="A8" s="5" t="s">
        <v>71</v>
      </c>
      <c r="B8" s="27" t="s">
        <v>72</v>
      </c>
      <c r="C8" s="27" t="s">
        <v>73</v>
      </c>
    </row>
    <row r="9" customFormat="false" ht="66" hidden="false" customHeight="true" outlineLevel="0" collapsed="false">
      <c r="A9" s="5" t="s">
        <v>74</v>
      </c>
      <c r="B9" s="27" t="s">
        <v>75</v>
      </c>
      <c r="C9" s="27" t="s">
        <v>76</v>
      </c>
    </row>
    <row r="11" customFormat="false" ht="15" hidden="false" customHeight="false" outlineLevel="0" collapsed="false">
      <c r="A11" s="7" t="s">
        <v>77</v>
      </c>
    </row>
    <row r="12" customFormat="false" ht="60" hidden="false" customHeight="true" outlineLevel="0" collapsed="false">
      <c r="A12" s="28" t="s">
        <v>78</v>
      </c>
      <c r="B12" s="28"/>
      <c r="C12" s="28"/>
    </row>
  </sheetData>
  <mergeCells count="1"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2026-09-27T17:30:21Z</dcterms:created>
  <dc:creator>openpyxl</dc:creator>
  <dc:description/>
  <dc:language>en-US</dc:language>
  <cp:lastModifiedBy/>
  <dcterms:modified xsi:type="dcterms:W3CDTF">2026-09-27T17:30:21Z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