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History" sheetId="1" state="visible" r:id="rId3"/>
    <sheet name="Forecast" sheetId="2" state="visible" r:id="rId4"/>
    <sheet name="Copilot Promp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<sst xmlns="http://schemas.openxmlformats.org/spreadsheetml/2006/main" count="51" uniqueCount="48">
  <si>
    <t xml:space="preserve">PEREPA EDU — Demand Forecasting Lab: Packaging SKU Order History</t>
  </si>
  <si>
    <t xml:space="preserve">24-month order history (rolls of 1,000m) for 3 packaging SKUs, with festival-season flag</t>
  </si>
  <si>
    <t xml:space="preserve">Month</t>
  </si>
  <si>
    <t xml:space="preserve">Month Index</t>
  </si>
  <si>
    <t xml:space="preserve">SKU-A (Snack Pouch)</t>
  </si>
  <si>
    <t xml:space="preserve">SKU-B (Pet Food Pouch)</t>
  </si>
  <si>
    <t xml:space="preserve">SKU-C (Detergent Pouch)</t>
  </si>
  <si>
    <t xml:space="preserve">Festival Flag</t>
  </si>
  <si>
    <t xml:space="preserve">Note: SKU quantity and Festival Flag cells are inputs (blue) — replace with actual order history.</t>
  </si>
  <si>
    <t xml:space="preserve">Seasonal Forecast, Confidence Interval &amp; Safety Stock</t>
  </si>
  <si>
    <t xml:space="preserve">Formulas only — recalculates automatically if Sales History data changes</t>
  </si>
  <si>
    <t xml:space="preserve">Next Forecast Month Index (25 = Dec-2026)</t>
  </si>
  <si>
    <t xml:space="preserve">Is Next Month a Festival Month? (1=Yes,0=No)</t>
  </si>
  <si>
    <t xml:space="preserve">Lead Time (days)</t>
  </si>
  <si>
    <t xml:space="preserve">Target Service Level</t>
  </si>
  <si>
    <t xml:space="preserve">Z-score for service level =</t>
  </si>
  <si>
    <t xml:space="preserve">SKU</t>
  </si>
  <si>
    <t xml:space="preserve">Trend Forecast
(FORECAST)</t>
  </si>
  <si>
    <t xml:space="preserve">Festival Index</t>
  </si>
  <si>
    <t xml:space="preserve">Adjusted Forecast</t>
  </si>
  <si>
    <t xml:space="preserve">Std Error
(STEYX)</t>
  </si>
  <si>
    <t xml:space="preserve">95% CI Margin</t>
  </si>
  <si>
    <t xml:space="preserve">Lower Bound</t>
  </si>
  <si>
    <t xml:space="preserve">Upper Bound</t>
  </si>
  <si>
    <t xml:space="preserve">Daily Demand
Std Dev</t>
  </si>
  <si>
    <t xml:space="preserve">Safety Stock</t>
  </si>
  <si>
    <t xml:space="preserve">Recommended
Production Qty</t>
  </si>
  <si>
    <t xml:space="preserve">Interpretation: Recommended Production Qty = seasonally-adjusted forecast + buffer for demand variability during lead time.</t>
  </si>
  <si>
    <t xml:space="preserve">Compare this to the flat-capacity plan (Oct example: 40/25/30 rolls) to see where AI-driven forecast changes the production schedule.</t>
  </si>
  <si>
    <t xml:space="preserve">How the Planner Used Copilot in Excel to Build This Model</t>
  </si>
  <si>
    <t xml:space="preserve">Training reference: the natural-language prompt sequence, and what Copilot generated in response</t>
  </si>
  <si>
    <t xml:space="preserve">Step</t>
  </si>
  <si>
    <t xml:space="preserve">Prompt Typed Into Copilot</t>
  </si>
  <si>
    <t xml:space="preserve">What Copilot Built / Which Cells</t>
  </si>
  <si>
    <t xml:space="preserve">1</t>
  </si>
  <si>
    <t xml:space="preserve">Build a seasonal forecast for SKU-A, SKU-B, and SKU-C for the next month using this 24-month history, accounting for the Festival Flag column.</t>
  </si>
  <si>
    <t xml:space="preserve">Forecast!B14:D16 — FORECAST for the trend, plus a Festival Index (AVERAGEIFS ratio) to seasonally adjust the trend line.</t>
  </si>
  <si>
    <t xml:space="preserve">2</t>
  </si>
  <si>
    <t xml:space="preserve">Add a 95% confidence interval to each forecast so I can see a low-high range, not just one number.</t>
  </si>
  <si>
    <t xml:space="preserve">Forecast!E14:H16 — STEYX for standard error, NORMSINV(0.975) for the z-multiplier, then Lower/Upper Bound columns.</t>
  </si>
  <si>
    <t xml:space="preserve">3</t>
  </si>
  <si>
    <t xml:space="preserve">Calculate safety stock for each SKU at a 90% service level, assuming 15-day lead time, based on demand variability in this data.</t>
  </si>
  <si>
    <t xml:space="preserve">Forecast!B7, C10, I14:J16 — Z-score via NORMSINV(service level), daily demand std dev via STDEV scaled by SQRT(30), Safety Stock = Z x StdDev x SQRT(lead time).</t>
  </si>
  <si>
    <t xml:space="preserve">4</t>
  </si>
  <si>
    <t xml:space="preserve">Summarize this in a table: SKU, Forecast Qty, Confidence Range, Safety Stock, and Recommended Production Qty (Forecast + Safety Stock).</t>
  </si>
  <si>
    <t xml:space="preserve">Forecast!A13:K16 — the full summary table, with Recommended Production Qty highlighted.</t>
  </si>
  <si>
    <t xml:space="preserve">Teaching point:</t>
  </si>
  <si>
    <t xml:space="preserve">The planner never wrote a formula from scratch. The skill being taught is describing the business logic precisely (seasonality, service level, lead time) and then checking that Copilot's formula choice actually matches — e.g. did it really use the Festival Flag, or just average everything?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</si>
</sst>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0%"/>
    <numFmt numFmtId="167" formatCode="0.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45627</v>
      </c>
      <c r="B5" s="5" t="n">
        <v>1</v>
      </c>
      <c r="C5" s="6" t="n">
        <v>45</v>
      </c>
      <c r="D5" s="6" t="n">
        <v>26</v>
      </c>
      <c r="E5" s="6" t="n">
        <v>32</v>
      </c>
      <c r="F5" s="6" t="n">
        <v>1</v>
      </c>
    </row>
    <row r="6" customFormat="false" ht="15" hidden="false" customHeight="false" outlineLevel="0" collapsed="false">
      <c r="A6" s="4" t="n">
        <v>45658</v>
      </c>
      <c r="B6" s="5" t="n">
        <v>2</v>
      </c>
      <c r="C6" s="6" t="n">
        <v>32</v>
      </c>
      <c r="D6" s="6" t="n">
        <v>21</v>
      </c>
      <c r="E6" s="6" t="n">
        <v>25</v>
      </c>
      <c r="F6" s="6" t="n">
        <v>0</v>
      </c>
    </row>
    <row r="7" customFormat="false" ht="15" hidden="false" customHeight="false" outlineLevel="0" collapsed="false">
      <c r="A7" s="4" t="n">
        <v>45689</v>
      </c>
      <c r="B7" s="5" t="n">
        <v>3</v>
      </c>
      <c r="C7" s="6" t="n">
        <v>35</v>
      </c>
      <c r="D7" s="6" t="n">
        <v>20</v>
      </c>
      <c r="E7" s="6" t="n">
        <v>25</v>
      </c>
      <c r="F7" s="6" t="n">
        <v>0</v>
      </c>
    </row>
    <row r="8" customFormat="false" ht="15" hidden="false" customHeight="false" outlineLevel="0" collapsed="false">
      <c r="A8" s="4" t="n">
        <v>45717</v>
      </c>
      <c r="B8" s="5" t="n">
        <v>4</v>
      </c>
      <c r="C8" s="6" t="n">
        <v>32</v>
      </c>
      <c r="D8" s="6" t="n">
        <v>21</v>
      </c>
      <c r="E8" s="6" t="n">
        <v>25</v>
      </c>
      <c r="F8" s="6" t="n">
        <v>0</v>
      </c>
    </row>
    <row r="9" customFormat="false" ht="15" hidden="false" customHeight="false" outlineLevel="0" collapsed="false">
      <c r="A9" s="4" t="n">
        <v>45748</v>
      </c>
      <c r="B9" s="5" t="n">
        <v>5</v>
      </c>
      <c r="C9" s="6" t="n">
        <v>33</v>
      </c>
      <c r="D9" s="6" t="n">
        <v>21</v>
      </c>
      <c r="E9" s="6" t="n">
        <v>26</v>
      </c>
      <c r="F9" s="6" t="n">
        <v>0</v>
      </c>
    </row>
    <row r="10" customFormat="false" ht="15" hidden="false" customHeight="false" outlineLevel="0" collapsed="false">
      <c r="A10" s="4" t="n">
        <v>45778</v>
      </c>
      <c r="B10" s="5" t="n">
        <v>6</v>
      </c>
      <c r="C10" s="6" t="n">
        <v>35</v>
      </c>
      <c r="D10" s="6" t="n">
        <v>21</v>
      </c>
      <c r="E10" s="6" t="n">
        <v>26</v>
      </c>
      <c r="F10" s="6" t="n">
        <v>0</v>
      </c>
    </row>
    <row r="11" customFormat="false" ht="15" hidden="false" customHeight="false" outlineLevel="0" collapsed="false">
      <c r="A11" s="4" t="n">
        <v>45809</v>
      </c>
      <c r="B11" s="5" t="n">
        <v>7</v>
      </c>
      <c r="C11" s="6" t="n">
        <v>37</v>
      </c>
      <c r="D11" s="6" t="n">
        <v>21</v>
      </c>
      <c r="E11" s="6" t="n">
        <v>27</v>
      </c>
      <c r="F11" s="6" t="n">
        <v>0</v>
      </c>
    </row>
    <row r="12" customFormat="false" ht="15" hidden="false" customHeight="false" outlineLevel="0" collapsed="false">
      <c r="A12" s="4" t="n">
        <v>45839</v>
      </c>
      <c r="B12" s="5" t="n">
        <v>8</v>
      </c>
      <c r="C12" s="6" t="n">
        <v>37</v>
      </c>
      <c r="D12" s="6" t="n">
        <v>22</v>
      </c>
      <c r="E12" s="6" t="n">
        <v>25</v>
      </c>
      <c r="F12" s="6" t="n">
        <v>0</v>
      </c>
    </row>
    <row r="13" customFormat="false" ht="15" hidden="false" customHeight="false" outlineLevel="0" collapsed="false">
      <c r="A13" s="4" t="n">
        <v>45870</v>
      </c>
      <c r="B13" s="5" t="n">
        <v>9</v>
      </c>
      <c r="C13" s="6" t="n">
        <v>39</v>
      </c>
      <c r="D13" s="6" t="n">
        <v>23</v>
      </c>
      <c r="E13" s="6" t="n">
        <v>25</v>
      </c>
      <c r="F13" s="6" t="n">
        <v>0</v>
      </c>
    </row>
    <row r="14" customFormat="false" ht="15" hidden="false" customHeight="false" outlineLevel="0" collapsed="false">
      <c r="A14" s="4" t="n">
        <v>45901</v>
      </c>
      <c r="B14" s="5" t="n">
        <v>10</v>
      </c>
      <c r="C14" s="6" t="n">
        <v>36</v>
      </c>
      <c r="D14" s="6" t="n">
        <v>25</v>
      </c>
      <c r="E14" s="6" t="n">
        <v>27</v>
      </c>
      <c r="F14" s="6" t="n">
        <v>0</v>
      </c>
    </row>
    <row r="15" customFormat="false" ht="15" hidden="false" customHeight="false" outlineLevel="0" collapsed="false">
      <c r="A15" s="4" t="n">
        <v>45931</v>
      </c>
      <c r="B15" s="5" t="n">
        <v>11</v>
      </c>
      <c r="C15" s="6" t="n">
        <v>53</v>
      </c>
      <c r="D15" s="6" t="n">
        <v>33</v>
      </c>
      <c r="E15" s="6" t="n">
        <v>37</v>
      </c>
      <c r="F15" s="6" t="n">
        <v>1</v>
      </c>
    </row>
    <row r="16" customFormat="false" ht="15" hidden="false" customHeight="false" outlineLevel="0" collapsed="false">
      <c r="A16" s="4" t="n">
        <v>45962</v>
      </c>
      <c r="B16" s="5" t="n">
        <v>12</v>
      </c>
      <c r="C16" s="6" t="n">
        <v>54</v>
      </c>
      <c r="D16" s="6" t="n">
        <v>32</v>
      </c>
      <c r="E16" s="6" t="n">
        <v>37</v>
      </c>
      <c r="F16" s="6" t="n">
        <v>1</v>
      </c>
    </row>
    <row r="17" customFormat="false" ht="15" hidden="false" customHeight="false" outlineLevel="0" collapsed="false">
      <c r="A17" s="4" t="n">
        <v>45992</v>
      </c>
      <c r="B17" s="5" t="n">
        <v>13</v>
      </c>
      <c r="C17" s="6" t="n">
        <v>54</v>
      </c>
      <c r="D17" s="6" t="n">
        <v>33</v>
      </c>
      <c r="E17" s="6" t="n">
        <v>39</v>
      </c>
      <c r="F17" s="6" t="n">
        <v>1</v>
      </c>
    </row>
    <row r="18" customFormat="false" ht="15" hidden="false" customHeight="false" outlineLevel="0" collapsed="false">
      <c r="A18" s="4" t="n">
        <v>46023</v>
      </c>
      <c r="B18" s="5" t="n">
        <v>14</v>
      </c>
      <c r="C18" s="6" t="n">
        <v>40</v>
      </c>
      <c r="D18" s="6" t="n">
        <v>26</v>
      </c>
      <c r="E18" s="6" t="n">
        <v>27</v>
      </c>
      <c r="F18" s="6" t="n">
        <v>0</v>
      </c>
    </row>
    <row r="19" customFormat="false" ht="15" hidden="false" customHeight="false" outlineLevel="0" collapsed="false">
      <c r="A19" s="4" t="n">
        <v>46054</v>
      </c>
      <c r="B19" s="5" t="n">
        <v>15</v>
      </c>
      <c r="C19" s="6" t="n">
        <v>39</v>
      </c>
      <c r="D19" s="6" t="n">
        <v>25</v>
      </c>
      <c r="E19" s="6" t="n">
        <v>27</v>
      </c>
      <c r="F19" s="6" t="n">
        <v>0</v>
      </c>
    </row>
    <row r="20" customFormat="false" ht="15" hidden="false" customHeight="false" outlineLevel="0" collapsed="false">
      <c r="A20" s="4" t="n">
        <v>46082</v>
      </c>
      <c r="B20" s="5" t="n">
        <v>16</v>
      </c>
      <c r="C20" s="6" t="n">
        <v>40</v>
      </c>
      <c r="D20" s="6" t="n">
        <v>24</v>
      </c>
      <c r="E20" s="6" t="n">
        <v>28</v>
      </c>
      <c r="F20" s="6" t="n">
        <v>0</v>
      </c>
    </row>
    <row r="21" customFormat="false" ht="15" hidden="false" customHeight="false" outlineLevel="0" collapsed="false">
      <c r="A21" s="4" t="n">
        <v>46113</v>
      </c>
      <c r="B21" s="5" t="n">
        <v>17</v>
      </c>
      <c r="C21" s="6" t="n">
        <v>42</v>
      </c>
      <c r="D21" s="6" t="n">
        <v>26</v>
      </c>
      <c r="E21" s="6" t="n">
        <v>29</v>
      </c>
      <c r="F21" s="6" t="n">
        <v>0</v>
      </c>
    </row>
    <row r="22" customFormat="false" ht="15" hidden="false" customHeight="false" outlineLevel="0" collapsed="false">
      <c r="A22" s="4" t="n">
        <v>46143</v>
      </c>
      <c r="B22" s="5" t="n">
        <v>18</v>
      </c>
      <c r="C22" s="6" t="n">
        <v>41</v>
      </c>
      <c r="D22" s="6" t="n">
        <v>26</v>
      </c>
      <c r="E22" s="6" t="n">
        <v>31</v>
      </c>
      <c r="F22" s="6" t="n">
        <v>0</v>
      </c>
    </row>
    <row r="23" customFormat="false" ht="15" hidden="false" customHeight="false" outlineLevel="0" collapsed="false">
      <c r="A23" s="4" t="n">
        <v>46174</v>
      </c>
      <c r="B23" s="5" t="n">
        <v>19</v>
      </c>
      <c r="C23" s="6" t="n">
        <v>43</v>
      </c>
      <c r="D23" s="6" t="n">
        <v>27</v>
      </c>
      <c r="E23" s="6" t="n">
        <v>29</v>
      </c>
      <c r="F23" s="6" t="n">
        <v>0</v>
      </c>
    </row>
    <row r="24" customFormat="false" ht="15" hidden="false" customHeight="false" outlineLevel="0" collapsed="false">
      <c r="A24" s="4" t="n">
        <v>46204</v>
      </c>
      <c r="B24" s="5" t="n">
        <v>20</v>
      </c>
      <c r="C24" s="6" t="n">
        <v>44</v>
      </c>
      <c r="D24" s="6" t="n">
        <v>26</v>
      </c>
      <c r="E24" s="6" t="n">
        <v>30</v>
      </c>
      <c r="F24" s="6" t="n">
        <v>0</v>
      </c>
    </row>
    <row r="25" customFormat="false" ht="15" hidden="false" customHeight="false" outlineLevel="0" collapsed="false">
      <c r="A25" s="4" t="n">
        <v>46235</v>
      </c>
      <c r="B25" s="5" t="n">
        <v>21</v>
      </c>
      <c r="C25" s="6" t="n">
        <v>46</v>
      </c>
      <c r="D25" s="6" t="n">
        <v>28</v>
      </c>
      <c r="E25" s="6" t="n">
        <v>30</v>
      </c>
      <c r="F25" s="6" t="n">
        <v>0</v>
      </c>
    </row>
    <row r="26" customFormat="false" ht="15" hidden="false" customHeight="false" outlineLevel="0" collapsed="false">
      <c r="A26" s="4" t="n">
        <v>46266</v>
      </c>
      <c r="B26" s="5" t="n">
        <v>22</v>
      </c>
      <c r="C26" s="6" t="n">
        <v>45</v>
      </c>
      <c r="D26" s="6" t="n">
        <v>29</v>
      </c>
      <c r="E26" s="6" t="n">
        <v>31</v>
      </c>
      <c r="F26" s="6" t="n">
        <v>0</v>
      </c>
    </row>
    <row r="27" customFormat="false" ht="15" hidden="false" customHeight="false" outlineLevel="0" collapsed="false">
      <c r="A27" s="4" t="n">
        <v>46296</v>
      </c>
      <c r="B27" s="5" t="n">
        <v>23</v>
      </c>
      <c r="C27" s="6" t="n">
        <v>59</v>
      </c>
      <c r="D27" s="6" t="n">
        <v>36</v>
      </c>
      <c r="E27" s="6" t="n">
        <v>41</v>
      </c>
      <c r="F27" s="6" t="n">
        <v>1</v>
      </c>
    </row>
    <row r="28" customFormat="false" ht="15" hidden="false" customHeight="false" outlineLevel="0" collapsed="false">
      <c r="A28" s="4" t="n">
        <v>46327</v>
      </c>
      <c r="B28" s="5" t="n">
        <v>24</v>
      </c>
      <c r="C28" s="6" t="n">
        <v>60</v>
      </c>
      <c r="D28" s="6" t="n">
        <v>37</v>
      </c>
      <c r="E28" s="6" t="n">
        <v>43</v>
      </c>
      <c r="F28" s="6" t="n">
        <v>1</v>
      </c>
    </row>
    <row r="30" customFormat="false" ht="15" hidden="false" customHeight="false" outlineLevel="0" collapsed="false">
      <c r="A3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15" hidden="false" customHeight="false" outlineLevel="0" collapsed="false">
      <c r="A4" s="7" t="s">
        <v>11</v>
      </c>
      <c r="B4" s="8" t="n">
        <v>25</v>
      </c>
    </row>
    <row r="5" customFormat="false" ht="15" hidden="false" customHeight="false" outlineLevel="0" collapsed="false">
      <c r="A5" s="7" t="s">
        <v>12</v>
      </c>
      <c r="B5" s="8" t="n">
        <v>1</v>
      </c>
    </row>
    <row r="6" customFormat="false" ht="15" hidden="false" customHeight="false" outlineLevel="0" collapsed="false">
      <c r="A6" s="7" t="s">
        <v>13</v>
      </c>
      <c r="B6" s="8" t="n">
        <v>15</v>
      </c>
    </row>
    <row r="7" customFormat="false" ht="15" hidden="false" customHeight="false" outlineLevel="0" collapsed="false">
      <c r="A7" s="7" t="s">
        <v>14</v>
      </c>
      <c r="B7" s="9" t="n">
        <v>0.9</v>
      </c>
    </row>
    <row r="10" customFormat="false" ht="15" hidden="false" customHeight="false" outlineLevel="0" collapsed="false">
      <c r="B10" s="7" t="s">
        <v>15</v>
      </c>
      <c r="C10" s="10" t="n">
        <f aca="false">NORMSINV(B7)</f>
        <v>1.2815515655446</v>
      </c>
    </row>
    <row r="13" customFormat="false" ht="36" hidden="false" customHeight="true" outlineLevel="0" collapsed="false">
      <c r="A13" s="11" t="s">
        <v>16</v>
      </c>
      <c r="B13" s="11" t="s">
        <v>17</v>
      </c>
      <c r="C13" s="11" t="s">
        <v>18</v>
      </c>
      <c r="D13" s="11" t="s">
        <v>19</v>
      </c>
      <c r="E13" s="11" t="s">
        <v>20</v>
      </c>
      <c r="F13" s="11" t="s">
        <v>21</v>
      </c>
      <c r="G13" s="11" t="s">
        <v>22</v>
      </c>
      <c r="H13" s="11" t="s">
        <v>23</v>
      </c>
      <c r="I13" s="11" t="s">
        <v>24</v>
      </c>
      <c r="J13" s="11" t="s">
        <v>25</v>
      </c>
      <c r="K13" s="11" t="s">
        <v>26</v>
      </c>
    </row>
    <row r="14" customFormat="false" ht="15" hidden="false" customHeight="false" outlineLevel="0" collapsed="false">
      <c r="A14" s="12" t="s">
        <v>4</v>
      </c>
      <c r="B14" s="13" t="n">
        <f aca="false">FORECAST($B$4,'Sales History'!$C$5:$C$28,'Sales History'!$B$5:$B$28)</f>
        <v>51.6775362318841</v>
      </c>
      <c r="C14" s="14" t="n">
        <f aca="false">AVERAGEIFS('Sales History'!$C$5:$C$28,'Sales History'!$F$5:$F$28,1)/AVERAGE('Sales History'!$C$5:$C$28)</f>
        <v>1.27326150832517</v>
      </c>
      <c r="D14" s="13" t="n">
        <f aca="false">B14*IF($B$5=1,C14,AVERAGEIFS('Sales History'!$C$5:$C$28,'Sales History'!$F$5:$F$28,0)/AVERAGE('Sales History'!$C$5:$C$28))</f>
        <v>65.7990177291374</v>
      </c>
      <c r="E14" s="13" t="n">
        <f aca="false">STEYX('Sales History'!$C$5:$C$28,'Sales History'!$B$5:$B$28)</f>
        <v>6.50755666956821</v>
      </c>
      <c r="F14" s="13" t="n">
        <f aca="false">NORMSINV(0.975)*E14</f>
        <v>12.7545766997071</v>
      </c>
      <c r="G14" s="13" t="n">
        <f aca="false">D14-F14</f>
        <v>53.0444410294303</v>
      </c>
      <c r="H14" s="13" t="n">
        <f aca="false">D14+F14</f>
        <v>78.5535944288445</v>
      </c>
      <c r="I14" s="13" t="n">
        <f aca="false">STDEV('Sales History'!$C$5:$C$28)/SQRT(30)</f>
        <v>1.49683643851675</v>
      </c>
      <c r="J14" s="13" t="n">
        <f aca="false">$C$10*I14*SQRT($B$6)</f>
        <v>7.4294396967539</v>
      </c>
      <c r="K14" s="15" t="n">
        <f aca="false">D14+J14</f>
        <v>73.2284574258913</v>
      </c>
    </row>
    <row r="15" customFormat="false" ht="15" hidden="false" customHeight="false" outlineLevel="0" collapsed="false">
      <c r="A15" s="12" t="s">
        <v>5</v>
      </c>
      <c r="B15" s="13" t="n">
        <f aca="false">FORECAST($B$4,'Sales History'!$D$5:$D$28,'Sales History'!$B$5:$B$28)</f>
        <v>32.1268115942029</v>
      </c>
      <c r="C15" s="14" t="n">
        <f aca="false">AVERAGEIFS('Sales History'!$D$5:$D$28,'Sales History'!$F$5:$F$28,1)/AVERAGE('Sales History'!$D$5:$D$28)</f>
        <v>1.25278219395866</v>
      </c>
      <c r="D15" s="13" t="n">
        <f aca="false">B15*IF($B$5=1,C15,AVERAGEIFS('Sales History'!$D$5:$D$28,'Sales History'!$F$5:$F$28,0)/AVERAGE('Sales History'!$D$5:$D$28))</f>
        <v>40.2478975138822</v>
      </c>
      <c r="E15" s="13" t="n">
        <f aca="false">STEYX('Sales History'!$D$5:$D$28,'Sales History'!$B$5:$B$28)</f>
        <v>3.70594988614657</v>
      </c>
      <c r="F15" s="13" t="n">
        <f aca="false">NORMSINV(0.975)*E15</f>
        <v>7.26352830535759</v>
      </c>
      <c r="G15" s="13" t="n">
        <f aca="false">D15-F15</f>
        <v>32.9843692085246</v>
      </c>
      <c r="H15" s="13" t="n">
        <f aca="false">D15+F15</f>
        <v>47.5114258192398</v>
      </c>
      <c r="I15" s="13" t="n">
        <f aca="false">STDEV('Sales History'!$D$5:$D$28)/SQRT(30)</f>
        <v>0.900851717223829</v>
      </c>
      <c r="J15" s="13" t="n">
        <f aca="false">$C$10*I15*SQRT($B$6)</f>
        <v>4.47131252060093</v>
      </c>
      <c r="K15" s="15" t="n">
        <f aca="false">D15+J15</f>
        <v>44.7192100344831</v>
      </c>
    </row>
    <row r="16" customFormat="false" ht="15" hidden="false" customHeight="false" outlineLevel="0" collapsed="false">
      <c r="A16" s="12" t="s">
        <v>6</v>
      </c>
      <c r="B16" s="13" t="n">
        <f aca="false">FORECAST($B$4,'Sales History'!$E$5:$E$28,'Sales History'!$B$5:$B$28)</f>
        <v>35.3007246376812</v>
      </c>
      <c r="C16" s="14" t="n">
        <f aca="false">AVERAGEIFS('Sales History'!$E$5:$E$28,'Sales History'!$F$5:$F$28,1)/AVERAGE('Sales History'!$E$5:$E$28)</f>
        <v>1.26869806094183</v>
      </c>
      <c r="D16" s="13" t="n">
        <f aca="false">B16*IF($B$5=1,C16,AVERAGEIFS('Sales History'!$E$5:$E$28,'Sales History'!$F$5:$F$28,0)/AVERAGE('Sales History'!$E$5:$E$28))</f>
        <v>44.7859608976675</v>
      </c>
      <c r="E16" s="13" t="n">
        <f aca="false">STEYX('Sales History'!$E$5:$E$28,'Sales History'!$B$5:$B$28)</f>
        <v>4.63918834616563</v>
      </c>
      <c r="F16" s="13" t="n">
        <f aca="false">NORMSINV(0.975)*E16</f>
        <v>9.09264207598256</v>
      </c>
      <c r="G16" s="13" t="n">
        <f aca="false">D16-F16</f>
        <v>35.6933188216849</v>
      </c>
      <c r="H16" s="13" t="n">
        <f aca="false">D16+F16</f>
        <v>53.8786029736501</v>
      </c>
      <c r="I16" s="13" t="n">
        <f aca="false">STDEV('Sales History'!$E$5:$E$28)/SQRT(30)</f>
        <v>0.988215587971157</v>
      </c>
      <c r="J16" s="13" t="n">
        <f aca="false">$C$10*I16*SQRT($B$6)</f>
        <v>4.90493679155698</v>
      </c>
      <c r="K16" s="15" t="n">
        <f aca="false">D16+J16</f>
        <v>49.6908976892245</v>
      </c>
    </row>
    <row r="19" customFormat="false" ht="15" hidden="false" customHeight="false" outlineLevel="0" collapsed="false">
      <c r="A19" s="2" t="s">
        <v>27</v>
      </c>
    </row>
    <row r="20" customFormat="false" ht="15" hidden="false" customHeight="false" outlineLevel="0" collapsed="false">
      <c r="A20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</row>
    <row r="5" customFormat="false" ht="60" hidden="false" customHeight="true" outlineLevel="0" collapsed="false">
      <c r="A5" s="5" t="s">
        <v>34</v>
      </c>
      <c r="B5" s="16" t="s">
        <v>35</v>
      </c>
      <c r="C5" s="16" t="s">
        <v>36</v>
      </c>
    </row>
    <row r="6" customFormat="false" ht="60" hidden="false" customHeight="true" outlineLevel="0" collapsed="false">
      <c r="A6" s="5" t="s">
        <v>37</v>
      </c>
      <c r="B6" s="16" t="s">
        <v>38</v>
      </c>
      <c r="C6" s="16" t="s">
        <v>39</v>
      </c>
    </row>
    <row r="7" customFormat="false" ht="60" hidden="false" customHeight="true" outlineLevel="0" collapsed="false">
      <c r="A7" s="5" t="s">
        <v>40</v>
      </c>
      <c r="B7" s="16" t="s">
        <v>41</v>
      </c>
      <c r="C7" s="16" t="s">
        <v>42</v>
      </c>
    </row>
    <row r="8" customFormat="false" ht="60" hidden="false" customHeight="true" outlineLevel="0" collapsed="false">
      <c r="A8" s="5" t="s">
        <v>43</v>
      </c>
      <c r="B8" s="16" t="s">
        <v>44</v>
      </c>
      <c r="C8" s="16" t="s">
        <v>45</v>
      </c>
    </row>
    <row r="10" customFormat="false" ht="15" hidden="false" customHeight="false" outlineLevel="0" collapsed="false">
      <c r="A10" s="10" t="s">
        <v>46</v>
      </c>
    </row>
    <row r="11" customFormat="false" ht="60" hidden="false" customHeight="true" outlineLevel="0" collapsed="false">
      <c r="A11" s="17" t="s">
        <v>47</v>
      </c>
      <c r="B11" s="17"/>
      <c r="C11" s="17"/>
    </row>
  </sheetData>
  <mergeCells count="1"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2026-09-27T17:04:22Z</dcterms:created>
  <dc:creator>openpyxl</dc:creator>
  <dc:description/>
  <dc:language>en-US</dc:language>
  <cp:lastModifiedBy/>
  <dcterms:modified xsi:type="dcterms:W3CDTF">2026-09-27T17:04:22Z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