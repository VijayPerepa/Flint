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 Log" sheetId="1" state="visible" r:id="rId3"/>
    <sheet name="Pareto Analysis" sheetId="2" state="visible" r:id="rId4"/>
    <sheet name="Control Chart &amp; Cpk" sheetId="3" state="visible" r:id="rId5"/>
    <sheet name="Root Cause Correlation" sheetId="4" state="visible" r:id="rId6"/>
    <sheet name="Predictive Alert" sheetId="5" state="visible" r:id="rId7"/>
    <sheet name="Cost of Quality" sheetId="6" state="visible" r:id="rId8"/>
    <sheet name="Copilot Prompt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<sst xmlns="http://schemas.openxmlformats.org/spreadsheetml/2006/main" count="414" uniqueCount="109">
  <si>
    <t xml:space="preserve">PEREPA EDU — Quality Analytics Lab: Defect / Rejection Log</t>
  </si>
  <si>
    <t xml:space="preserve">50 print-job quality records, Aug-Sep 2026, flexible packaging plant</t>
  </si>
  <si>
    <t xml:space="preserve">Log ID</t>
  </si>
  <si>
    <t xml:space="preserve">Date</t>
  </si>
  <si>
    <t xml:space="preserve">SKU</t>
  </si>
  <si>
    <t xml:space="preserve">Machine</t>
  </si>
  <si>
    <t xml:space="preserve">Shift</t>
  </si>
  <si>
    <t xml:space="preserve">Operator</t>
  </si>
  <si>
    <t xml:space="preserve">Adhesive Batch</t>
  </si>
  <si>
    <t xml:space="preserve">Defect Type</t>
  </si>
  <si>
    <t xml:space="preserve">Qty Rejected (rolls)</t>
  </si>
  <si>
    <t xml:space="preserve">Rework Hours</t>
  </si>
  <si>
    <t xml:space="preserve">Bond Strength (N/15mm)</t>
  </si>
  <si>
    <t xml:space="preserve">SKU-C</t>
  </si>
  <si>
    <t xml:space="preserve">Press-2</t>
  </si>
  <si>
    <t xml:space="preserve">B</t>
  </si>
  <si>
    <t xml:space="preserve">Op-Sunita</t>
  </si>
  <si>
    <t xml:space="preserve">B103</t>
  </si>
  <si>
    <t xml:space="preserve">Adhesion Failure</t>
  </si>
  <si>
    <t xml:space="preserve">SKU-A</t>
  </si>
  <si>
    <t xml:space="preserve">Press-1</t>
  </si>
  <si>
    <t xml:space="preserve">C</t>
  </si>
  <si>
    <t xml:space="preserve">Op-Meena</t>
  </si>
  <si>
    <t xml:space="preserve">B102</t>
  </si>
  <si>
    <t xml:space="preserve">Ink Smudge</t>
  </si>
  <si>
    <t xml:space="preserve">A</t>
  </si>
  <si>
    <t xml:space="preserve">B101</t>
  </si>
  <si>
    <t xml:space="preserve">Wrinkling</t>
  </si>
  <si>
    <t xml:space="preserve">Op-Ravi</t>
  </si>
  <si>
    <t xml:space="preserve">B104</t>
  </si>
  <si>
    <t xml:space="preserve">Registration Error</t>
  </si>
  <si>
    <t xml:space="preserve">Color Mismatch</t>
  </si>
  <si>
    <t xml:space="preserve">SKU-B</t>
  </si>
  <si>
    <t xml:space="preserve">Pinholes</t>
  </si>
  <si>
    <t xml:space="preserve">Op-Karan</t>
  </si>
  <si>
    <t xml:space="preserve">Blue cells = inputs. In practice this feeds from your QC/ERP system, not manual entry.</t>
  </si>
  <si>
    <t xml:space="preserve">1. Pareto Analysis — Defect Type by Rejected Qty</t>
  </si>
  <si>
    <t xml:space="preserve">AI/Copilot aggregates the raw log into ranked defect totals — the 80/20 view</t>
  </si>
  <si>
    <t xml:space="preserve">Total Rejected (rolls)</t>
  </si>
  <si>
    <t xml:space="preserve">% of Total</t>
  </si>
  <si>
    <t xml:space="preserve">Cumulative %</t>
  </si>
  <si>
    <t xml:space="preserve">Adhesion Failure alone is ~40% of rejects — the single biggest lever for the operations team.</t>
  </si>
  <si>
    <t xml:space="preserve">2. Process Capability (Cpk) — Lamination Bond Strength</t>
  </si>
  <si>
    <t xml:space="preserve">Inline QC reading on every job. Spec: Bond Strength must be &gt;= Lower Spec Limit (LSL).</t>
  </si>
  <si>
    <t xml:space="preserve">Spec Limit (LSL, N/15mm)</t>
  </si>
  <si>
    <t xml:space="preserve">Mean Bond Strength</t>
  </si>
  <si>
    <t xml:space="preserve">Std Dev</t>
  </si>
  <si>
    <t xml:space="preserve">Cpk (one-sided, lower)</t>
  </si>
  <si>
    <t xml:space="preserve">Sample Size (n)</t>
  </si>
  <si>
    <t xml:space="preserve">Cpk &lt; 1.0 = process not capable (expect frequent out-of-spec output).</t>
  </si>
  <si>
    <t xml:space="preserve">Cpk 1.0-1.33 = marginal.  Cpk &gt; 1.33 = capable.</t>
  </si>
  <si>
    <t xml:space="preserve">Bond Strength</t>
  </si>
  <si>
    <t xml:space="preserve">LSL</t>
  </si>
  <si>
    <t xml:space="preserve">3. Root Cause Correlation — Adhesion Failure vs Adhesive Batch &amp; Shift</t>
  </si>
  <si>
    <t xml:space="preserve">Cross-tabs surface the pattern a manual scan of 50 rows would likely miss</t>
  </si>
  <si>
    <t xml:space="preserve">Adhesion Failures by Adhesive Batch</t>
  </si>
  <si>
    <t xml:space="preserve">Total Jobs</t>
  </si>
  <si>
    <t xml:space="preserve">Adhesion Failures</t>
  </si>
  <si>
    <t xml:space="preserve">Failure Rate</t>
  </si>
  <si>
    <t xml:space="preserve">Adhesion Failures by Shift</t>
  </si>
  <si>
    <t xml:space="preserve">If one batch's failure rate is far above the others, that batch (not the operator or shift) is the root cause — redirect QA to incoming raw-material inspection.</t>
  </si>
  <si>
    <t xml:space="preserve">4. Predictive Quality Alert — Threshold Rule on Inline Reading</t>
  </si>
  <si>
    <t xml:space="preserve">Flags a job as at-risk from its Bond Strength reading, before a defect is even logged</t>
  </si>
  <si>
    <t xml:space="preserve">Alert Threshold (buffer above LSL, N/15mm)</t>
  </si>
  <si>
    <t xml:space="preserve">(LSL is 12 on the Control Chart &amp; Cpk sheet — this alert fires earlier, before the job is actually out of spec)</t>
  </si>
  <si>
    <t xml:space="preserve">Alert Status</t>
  </si>
  <si>
    <t xml:space="preserve">This is rule-based (a fixed threshold). A more advanced version trains a classifier on which combinations of readings actually preceded a real defect, and predicts risk as a probability instead of a hard cutoff.</t>
  </si>
  <si>
    <t xml:space="preserve">5. Cost of Poor Quality (COPQ) Rollup</t>
  </si>
  <si>
    <t xml:space="preserve">Ties defect data straight to the P&amp;L</t>
  </si>
  <si>
    <t xml:space="preserve">Cost Assumptions</t>
  </si>
  <si>
    <t xml:space="preserve">Scrap Cost per Rejected Roll (INR)</t>
  </si>
  <si>
    <t xml:space="preserve">Rework Cost per Hour (INR)</t>
  </si>
  <si>
    <t xml:space="preserve">Monthly Production Cost — Aug (INR)</t>
  </si>
  <si>
    <t xml:space="preserve">Monthly Production Cost — Sep (INR)</t>
  </si>
  <si>
    <t xml:space="preserve">Customer Credit Notes — Aug (INR)</t>
  </si>
  <si>
    <t xml:space="preserve">Customer Credit Notes — Sep (INR)</t>
  </si>
  <si>
    <t xml:space="preserve">Month</t>
  </si>
  <si>
    <t xml:space="preserve">Scrap Cost (INR)</t>
  </si>
  <si>
    <t xml:space="preserve">Rework Cost (INR)</t>
  </si>
  <si>
    <t xml:space="preserve">Customer Credits (INR)</t>
  </si>
  <si>
    <t xml:space="preserve">Total COPQ (INR)</t>
  </si>
  <si>
    <t xml:space="preserve">Production Cost (INR)</t>
  </si>
  <si>
    <t xml:space="preserve">COPQ % of Production Cost</t>
  </si>
  <si>
    <t xml:space="preserve">Aug-2026</t>
  </si>
  <si>
    <t xml:space="preserve">Sep-2026</t>
  </si>
  <si>
    <t xml:space="preserve">COPQ = Scrap + Rework + Customer Credits. Tracking this monthly turns 'we had some rejects' into a number the CFO reacts to.</t>
  </si>
  <si>
    <t xml:space="preserve">How Operations Used Copilot to Build This Quality Model</t>
  </si>
  <si>
    <t xml:space="preserve">Training reference: prompt sequence covering points 1-6, and what Copilot generated</t>
  </si>
  <si>
    <t xml:space="preserve">Step</t>
  </si>
  <si>
    <t xml:space="preserve">Prompt Typed Into Copilot</t>
  </si>
  <si>
    <t xml:space="preserve">What Copilot Built / Which Cells</t>
  </si>
  <si>
    <t xml:space="preserve">1. Pareto</t>
  </si>
  <si>
    <t xml:space="preserve">From this defect log, total the rejected quantity by defect type, sort descending, and add cumulative percentage.</t>
  </si>
  <si>
    <t xml:space="preserve">'Pareto Analysis'!A5:D10 — SUMIF per defect type, % of total, running cumulative %, plus a combo bar/line chart.</t>
  </si>
  <si>
    <t xml:space="preserve">2. Cpk</t>
  </si>
  <si>
    <t xml:space="preserve">Using the Bond Strength column, calculate the mean, standard deviation, and one-sided Cpk against a lower spec limit of 12.</t>
  </si>
  <si>
    <t xml:space="preserve">'Control Chart &amp; Cpk'!C6:C9 — AVERAGE, STDEV, and Cpk = (Mean-LSL)/(3xStdDev), plus a run chart of every reading vs the spec limit.</t>
  </si>
  <si>
    <t xml:space="preserve">3. Root cause</t>
  </si>
  <si>
    <t xml:space="preserve">Break down Adhesion Failure count and rate by Adhesive Batch, and separately by Shift, so I can see which one is really driving the defect.</t>
  </si>
  <si>
    <t xml:space="preserve">'Root Cause Correlation'!A5:D12 — COUNTIF/COUNTIFS cross-tabs for batch and shift, with failure rate = failures / total jobs.</t>
  </si>
  <si>
    <t xml:space="preserve">4. Predictive alert</t>
  </si>
  <si>
    <t xml:space="preserve">Flag any job where Bond Strength is below 14 (above the 12 spec) as 'AT RISK - Hold for QC', even if it wasn't logged as a defect.</t>
  </si>
  <si>
    <t xml:space="preserve">'Predictive Alert'!F8:F57 — an IF rule against a threshold input cell, one row per job, ahead of the official reject log.</t>
  </si>
  <si>
    <t xml:space="preserve">5. Cost of Quality</t>
  </si>
  <si>
    <t xml:space="preserve">Roll up scrap cost, rework cost, and customer credit notes into a single Cost of Poor Quality number for August and September, as a % of that month's production cost.</t>
  </si>
  <si>
    <t xml:space="preserve">'Cost of Quality'!B14:G15 — SUMPRODUCT with a MONTH() condition for scrap/rework, credits and production cost pulled in, COPQ % calculated.</t>
  </si>
  <si>
    <t xml:space="preserve">6. NL Q&amp;A agent</t>
  </si>
  <si>
    <t xml:space="preserve">Why did Adhesion Failure rejects spike in the last two weeks of data?</t>
  </si>
  <si>
    <t xml:space="preserve">This one Copilot in Excel can't answer well on its own — it's a natural-language question over live data, which is exactly what a Copilot Studio agent is built for (see the separate agent walkthrough).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</si>
</sst>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0.0%"/>
    <numFmt numFmtId="167" formatCode="0.00"/>
    <numFmt numFmtId="168" formatCode="#,##0"/>
    <numFmt numFmtId="169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Defect Pareto — Rejected Rolls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'Pareto Analysis'!B4</c:f>
              <c:strCache>
                <c:ptCount val="1"/>
                <c:pt idx="0">
                  <c:v>Total Rejected (rolls)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Analysis'!$A$5:$A$10</c:f>
              <c:strCache>
                <c:ptCount val="6"/>
                <c:pt idx="0">
                  <c:v>Adhesion Failure</c:v>
                </c:pt>
                <c:pt idx="1">
                  <c:v>Color Mismatch</c:v>
                </c:pt>
                <c:pt idx="2">
                  <c:v>Registration Error</c:v>
                </c:pt>
                <c:pt idx="3">
                  <c:v>Pinholes</c:v>
                </c:pt>
                <c:pt idx="4">
                  <c:v>Wrinkling</c:v>
                </c:pt>
                <c:pt idx="5">
                  <c:v>Ink Smudge</c:v>
                </c:pt>
              </c:strCache>
            </c:strRef>
          </c:cat>
          <c:val>
            <c:numRef>
              <c:f>'Pareto Analysis'!$B$5:$B$10</c:f>
              <c:numCache>
                <c:formatCode>General</c:formatCode>
                <c:ptCount val="6"/>
                <c:pt idx="0">
                  <c:v>88</c:v>
                </c:pt>
                <c:pt idx="1">
                  <c:v>15</c:v>
                </c:pt>
                <c:pt idx="2">
                  <c:v>16</c:v>
                </c:pt>
                <c:pt idx="3">
                  <c:v>22</c:v>
                </c:pt>
                <c:pt idx="4">
                  <c:v>15</c:v>
                </c:pt>
                <c:pt idx="5">
                  <c:v>14</c:v>
                </c:pt>
              </c:numCache>
            </c:numRef>
          </c:val>
        </c:ser>
        <c:gapWidth val="150"/>
        <c:overlap val="0"/>
        <c:axId val="34272542"/>
        <c:axId val="9110639"/>
      </c:barChart>
      <c:lineChart>
        <c:grouping val="standard"/>
        <c:varyColors val="0"/>
        <c:ser>
          <c:idx val="1"/>
          <c:order val="1"/>
          <c:tx>
            <c:strRef>
              <c:f>'Pareto Analysis'!D4</c:f>
              <c:strCache>
                <c:ptCount val="1"/>
                <c:pt idx="0">
                  <c:v>Cumulative %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'Pareto Analysis'!$A$5:$A$10</c:f>
              <c:strCache>
                <c:ptCount val="6"/>
                <c:pt idx="0">
                  <c:v>Adhesion Failure</c:v>
                </c:pt>
                <c:pt idx="1">
                  <c:v>Color Mismatch</c:v>
                </c:pt>
                <c:pt idx="2">
                  <c:v>Registration Error</c:v>
                </c:pt>
                <c:pt idx="3">
                  <c:v>Pinholes</c:v>
                </c:pt>
                <c:pt idx="4">
                  <c:v>Wrinkling</c:v>
                </c:pt>
                <c:pt idx="5">
                  <c:v>Ink Smudge</c:v>
                </c:pt>
              </c:strCache>
            </c:strRef>
          </c:cat>
          <c:val>
            <c:numRef>
              <c:f>'Pareto Analysis'!$D$5:$D$10</c:f>
              <c:numCache>
                <c:formatCode>0.0%</c:formatCode>
                <c:ptCount val="6"/>
                <c:pt idx="0">
                  <c:v>0.51764705882353</c:v>
                </c:pt>
                <c:pt idx="1">
                  <c:v>0.605882352941177</c:v>
                </c:pt>
                <c:pt idx="2">
                  <c:v>0.7</c:v>
                </c:pt>
                <c:pt idx="3">
                  <c:v>0.829411764705882</c:v>
                </c:pt>
                <c:pt idx="4">
                  <c:v>0.91764705882353</c:v>
                </c:pt>
                <c:pt idx="5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813251"/>
        <c:axId val="26980476"/>
      </c:lineChart>
      <c:catAx>
        <c:axId val="342725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Defect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10639"/>
        <c:crosses val="autoZero"/>
        <c:auto val="1"/>
        <c:lblAlgn val="ctr"/>
        <c:lblOffset val="100"/>
        <c:noMultiLvlLbl val="0"/>
      </c:catAx>
      <c:valAx>
        <c:axId val="91106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Rejected Rolls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272542"/>
        <c:crosses val="autoZero"/>
        <c:crossBetween val="between"/>
      </c:valAx>
      <c:catAx>
        <c:axId val="77813251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Defect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980476"/>
        <c:crosses val="autoZero"/>
        <c:auto val="1"/>
        <c:lblAlgn val="ctr"/>
        <c:lblOffset val="100"/>
        <c:noMultiLvlLbl val="0"/>
      </c:catAx>
      <c:valAx>
        <c:axId val="2698047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813251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Bond Strength — Run Chart vs Spec Limit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'Control Chart &amp; Cpk'!D15</c:f>
              <c:strCache>
                <c:ptCount val="1"/>
                <c:pt idx="0">
                  <c:v>Bond Strength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'Control Chart &amp; Cpk'!$D$16:$D$65</c:f>
              <c:numCache>
                <c:formatCode>General</c:formatCode>
                <c:ptCount val="50"/>
                <c:pt idx="0">
                  <c:v>9.1</c:v>
                </c:pt>
                <c:pt idx="1">
                  <c:v>15.7</c:v>
                </c:pt>
                <c:pt idx="2">
                  <c:v>18.3</c:v>
                </c:pt>
                <c:pt idx="3">
                  <c:v>16.4</c:v>
                </c:pt>
                <c:pt idx="4">
                  <c:v>20.8</c:v>
                </c:pt>
                <c:pt idx="5">
                  <c:v>19.3</c:v>
                </c:pt>
                <c:pt idx="6">
                  <c:v>10.6</c:v>
                </c:pt>
                <c:pt idx="7">
                  <c:v>13</c:v>
                </c:pt>
                <c:pt idx="8">
                  <c:v>16.5</c:v>
                </c:pt>
                <c:pt idx="9">
                  <c:v>18.9</c:v>
                </c:pt>
                <c:pt idx="10">
                  <c:v>11.8</c:v>
                </c:pt>
                <c:pt idx="11">
                  <c:v>9.7</c:v>
                </c:pt>
                <c:pt idx="12">
                  <c:v>14.6</c:v>
                </c:pt>
                <c:pt idx="13">
                  <c:v>16.2</c:v>
                </c:pt>
                <c:pt idx="14">
                  <c:v>10.1</c:v>
                </c:pt>
                <c:pt idx="15">
                  <c:v>17.1</c:v>
                </c:pt>
                <c:pt idx="16">
                  <c:v>16.4</c:v>
                </c:pt>
                <c:pt idx="17">
                  <c:v>19.7</c:v>
                </c:pt>
                <c:pt idx="18">
                  <c:v>8.3</c:v>
                </c:pt>
                <c:pt idx="19">
                  <c:v>18.5</c:v>
                </c:pt>
                <c:pt idx="20">
                  <c:v>17.8</c:v>
                </c:pt>
                <c:pt idx="21">
                  <c:v>11.7</c:v>
                </c:pt>
                <c:pt idx="22">
                  <c:v>22.5</c:v>
                </c:pt>
                <c:pt idx="23">
                  <c:v>18.6</c:v>
                </c:pt>
                <c:pt idx="24">
                  <c:v>12.2</c:v>
                </c:pt>
                <c:pt idx="25">
                  <c:v>13.5</c:v>
                </c:pt>
                <c:pt idx="26">
                  <c:v>9.1</c:v>
                </c:pt>
                <c:pt idx="27">
                  <c:v>12.9</c:v>
                </c:pt>
                <c:pt idx="28">
                  <c:v>17.6</c:v>
                </c:pt>
                <c:pt idx="29">
                  <c:v>11.6</c:v>
                </c:pt>
                <c:pt idx="30">
                  <c:v>18.6</c:v>
                </c:pt>
                <c:pt idx="31">
                  <c:v>19.3</c:v>
                </c:pt>
                <c:pt idx="32">
                  <c:v>14.1</c:v>
                </c:pt>
                <c:pt idx="33">
                  <c:v>9</c:v>
                </c:pt>
                <c:pt idx="34">
                  <c:v>15.9</c:v>
                </c:pt>
                <c:pt idx="35">
                  <c:v>12.4</c:v>
                </c:pt>
                <c:pt idx="36">
                  <c:v>16.5</c:v>
                </c:pt>
                <c:pt idx="37">
                  <c:v>17.8</c:v>
                </c:pt>
                <c:pt idx="38">
                  <c:v>8.8</c:v>
                </c:pt>
                <c:pt idx="39">
                  <c:v>18</c:v>
                </c:pt>
                <c:pt idx="40">
                  <c:v>15.9</c:v>
                </c:pt>
                <c:pt idx="41">
                  <c:v>21.3</c:v>
                </c:pt>
                <c:pt idx="42">
                  <c:v>10.8</c:v>
                </c:pt>
                <c:pt idx="43">
                  <c:v>17.4</c:v>
                </c:pt>
                <c:pt idx="44">
                  <c:v>14.5</c:v>
                </c:pt>
                <c:pt idx="45">
                  <c:v>17.3</c:v>
                </c:pt>
                <c:pt idx="46">
                  <c:v>9.9</c:v>
                </c:pt>
                <c:pt idx="47">
                  <c:v>12.9</c:v>
                </c:pt>
                <c:pt idx="48">
                  <c:v>18.4</c:v>
                </c:pt>
                <c:pt idx="49">
                  <c:v>11.8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'Control Chart &amp; Cpk'!E15</c:f>
              <c:strCache>
                <c:ptCount val="1"/>
                <c:pt idx="0">
                  <c:v>LSL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'Control Chart &amp; Cpk'!$E$16:$E$65</c:f>
              <c:numCache>
                <c:formatCode>General</c:formatCode>
                <c:ptCount val="5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588414"/>
        <c:axId val="3644999"/>
      </c:lineChart>
      <c:catAx>
        <c:axId val="25588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Job Sequence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44999"/>
        <c:crosses val="autoZero"/>
        <c:auto val="1"/>
        <c:lblAlgn val="ctr"/>
        <c:lblOffset val="100"/>
        <c:noMultiLvlLbl val="0"/>
      </c:catAx>
      <c:valAx>
        <c:axId val="36449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N/15mm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5884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14</xdr:col>
      <xdr:colOff>255960</xdr:colOff>
      <xdr:row>18</xdr:row>
      <xdr:rowOff>172440</xdr:rowOff>
    </xdr:to>
    <xdr:graphicFrame>
      <xdr:nvGraphicFramePr>
        <xdr:cNvPr id="1" name="Chart 1"/>
        <xdr:cNvGraphicFramePr/>
      </xdr:nvGraphicFramePr>
      <xdr:xfrm>
        <a:off x="5404320" y="601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364680</xdr:colOff>
      <xdr:row>18</xdr:row>
      <xdr:rowOff>172440</xdr:rowOff>
    </xdr:to>
    <xdr:graphicFrame>
      <xdr:nvGraphicFramePr>
        <xdr:cNvPr id="2" name="Chart 1"/>
        <xdr:cNvGraphicFramePr/>
      </xdr:nvGraphicFramePr>
      <xdr:xfrm>
        <a:off x="5968440" y="6012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16"/>
    <col collapsed="false" customWidth="true" hidden="false" outlineLevel="0" max="8" min="8" style="0" width="20"/>
    <col collapsed="false" customWidth="true" hidden="false" outlineLevel="0" max="11" min="9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n">
        <v>46263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n">
        <v>2</v>
      </c>
      <c r="J5" s="6" t="n">
        <v>1.2</v>
      </c>
      <c r="K5" s="6" t="n">
        <v>9.1</v>
      </c>
    </row>
    <row r="6" customFormat="false" ht="15" hidden="false" customHeight="false" outlineLevel="0" collapsed="false">
      <c r="A6" s="4" t="n">
        <v>2</v>
      </c>
      <c r="B6" s="5" t="n">
        <v>46244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6" t="n">
        <v>5</v>
      </c>
      <c r="J6" s="6" t="n">
        <v>2</v>
      </c>
      <c r="K6" s="6" t="n">
        <v>15.7</v>
      </c>
    </row>
    <row r="7" customFormat="false" ht="15" hidden="false" customHeight="false" outlineLevel="0" collapsed="false">
      <c r="A7" s="4" t="n">
        <v>3</v>
      </c>
      <c r="B7" s="5" t="n">
        <v>46268</v>
      </c>
      <c r="C7" s="6" t="s">
        <v>19</v>
      </c>
      <c r="D7" s="6" t="s">
        <v>20</v>
      </c>
      <c r="E7" s="6" t="s">
        <v>25</v>
      </c>
      <c r="F7" s="6" t="s">
        <v>16</v>
      </c>
      <c r="G7" s="6" t="s">
        <v>26</v>
      </c>
      <c r="H7" s="6" t="s">
        <v>27</v>
      </c>
      <c r="I7" s="6" t="n">
        <v>5</v>
      </c>
      <c r="J7" s="6" t="n">
        <v>4.1</v>
      </c>
      <c r="K7" s="6" t="n">
        <v>18.3</v>
      </c>
    </row>
    <row r="8" customFormat="false" ht="15" hidden="false" customHeight="false" outlineLevel="0" collapsed="false">
      <c r="A8" s="4" t="n">
        <v>4</v>
      </c>
      <c r="B8" s="5" t="n">
        <v>46268</v>
      </c>
      <c r="C8" s="6" t="s">
        <v>19</v>
      </c>
      <c r="D8" s="6" t="s">
        <v>14</v>
      </c>
      <c r="E8" s="6" t="s">
        <v>15</v>
      </c>
      <c r="F8" s="6" t="s">
        <v>28</v>
      </c>
      <c r="G8" s="6" t="s">
        <v>29</v>
      </c>
      <c r="H8" s="6" t="s">
        <v>30</v>
      </c>
      <c r="I8" s="6" t="n">
        <v>3</v>
      </c>
      <c r="J8" s="6" t="n">
        <v>1.8</v>
      </c>
      <c r="K8" s="6" t="n">
        <v>16.4</v>
      </c>
    </row>
    <row r="9" customFormat="false" ht="15" hidden="false" customHeight="false" outlineLevel="0" collapsed="false">
      <c r="A9" s="4" t="n">
        <v>5</v>
      </c>
      <c r="B9" s="5" t="n">
        <v>46270</v>
      </c>
      <c r="C9" s="6" t="s">
        <v>19</v>
      </c>
      <c r="D9" s="6" t="s">
        <v>14</v>
      </c>
      <c r="E9" s="6" t="s">
        <v>15</v>
      </c>
      <c r="F9" s="6" t="s">
        <v>16</v>
      </c>
      <c r="G9" s="6" t="s">
        <v>26</v>
      </c>
      <c r="H9" s="6" t="s">
        <v>31</v>
      </c>
      <c r="I9" s="6" t="n">
        <v>4</v>
      </c>
      <c r="J9" s="6" t="n">
        <v>1.8</v>
      </c>
      <c r="K9" s="6" t="n">
        <v>20.8</v>
      </c>
    </row>
    <row r="10" customFormat="false" ht="15" hidden="false" customHeight="false" outlineLevel="0" collapsed="false">
      <c r="A10" s="4" t="n">
        <v>6</v>
      </c>
      <c r="B10" s="5" t="n">
        <v>46253</v>
      </c>
      <c r="C10" s="6" t="s">
        <v>32</v>
      </c>
      <c r="D10" s="6" t="s">
        <v>20</v>
      </c>
      <c r="E10" s="6" t="s">
        <v>25</v>
      </c>
      <c r="F10" s="6" t="s">
        <v>28</v>
      </c>
      <c r="G10" s="6" t="s">
        <v>29</v>
      </c>
      <c r="H10" s="6" t="s">
        <v>18</v>
      </c>
      <c r="I10" s="6" t="n">
        <v>2</v>
      </c>
      <c r="J10" s="6" t="n">
        <v>1.3</v>
      </c>
      <c r="K10" s="6" t="n">
        <v>19.3</v>
      </c>
    </row>
    <row r="11" customFormat="false" ht="15" hidden="false" customHeight="false" outlineLevel="0" collapsed="false">
      <c r="A11" s="4" t="n">
        <v>7</v>
      </c>
      <c r="B11" s="5" t="n">
        <v>46280</v>
      </c>
      <c r="C11" s="6" t="s">
        <v>32</v>
      </c>
      <c r="D11" s="6" t="s">
        <v>14</v>
      </c>
      <c r="E11" s="6" t="s">
        <v>25</v>
      </c>
      <c r="F11" s="6" t="s">
        <v>16</v>
      </c>
      <c r="G11" s="6" t="s">
        <v>17</v>
      </c>
      <c r="H11" s="6" t="s">
        <v>33</v>
      </c>
      <c r="I11" s="6" t="n">
        <v>1</v>
      </c>
      <c r="J11" s="6" t="n">
        <v>0.9</v>
      </c>
      <c r="K11" s="6" t="n">
        <v>10.6</v>
      </c>
    </row>
    <row r="12" customFormat="false" ht="15" hidden="false" customHeight="false" outlineLevel="0" collapsed="false">
      <c r="A12" s="4" t="n">
        <v>8</v>
      </c>
      <c r="B12" s="5" t="n">
        <v>46283</v>
      </c>
      <c r="C12" s="6" t="s">
        <v>19</v>
      </c>
      <c r="D12" s="6" t="s">
        <v>20</v>
      </c>
      <c r="E12" s="6" t="s">
        <v>25</v>
      </c>
      <c r="F12" s="6" t="s">
        <v>28</v>
      </c>
      <c r="G12" s="6" t="s">
        <v>17</v>
      </c>
      <c r="H12" s="6" t="s">
        <v>18</v>
      </c>
      <c r="I12" s="6" t="n">
        <v>5</v>
      </c>
      <c r="J12" s="6" t="n">
        <v>2.4</v>
      </c>
      <c r="K12" s="6" t="n">
        <v>13</v>
      </c>
    </row>
    <row r="13" customFormat="false" ht="15" hidden="false" customHeight="false" outlineLevel="0" collapsed="false">
      <c r="A13" s="4" t="n">
        <v>9</v>
      </c>
      <c r="B13" s="5" t="n">
        <v>46270</v>
      </c>
      <c r="C13" s="6" t="s">
        <v>19</v>
      </c>
      <c r="D13" s="6" t="s">
        <v>14</v>
      </c>
      <c r="E13" s="6" t="s">
        <v>21</v>
      </c>
      <c r="F13" s="6" t="s">
        <v>16</v>
      </c>
      <c r="G13" s="6" t="s">
        <v>23</v>
      </c>
      <c r="H13" s="6" t="s">
        <v>24</v>
      </c>
      <c r="I13" s="6" t="n">
        <v>4</v>
      </c>
      <c r="J13" s="6" t="n">
        <v>2.4</v>
      </c>
      <c r="K13" s="6" t="n">
        <v>16.5</v>
      </c>
    </row>
    <row r="14" customFormat="false" ht="15" hidden="false" customHeight="false" outlineLevel="0" collapsed="false">
      <c r="A14" s="4" t="n">
        <v>10</v>
      </c>
      <c r="B14" s="5" t="n">
        <v>46248</v>
      </c>
      <c r="C14" s="6" t="s">
        <v>19</v>
      </c>
      <c r="D14" s="6" t="s">
        <v>14</v>
      </c>
      <c r="E14" s="6" t="s">
        <v>21</v>
      </c>
      <c r="F14" s="6" t="s">
        <v>34</v>
      </c>
      <c r="G14" s="6" t="s">
        <v>26</v>
      </c>
      <c r="H14" s="6" t="s">
        <v>24</v>
      </c>
      <c r="I14" s="6" t="n">
        <v>2</v>
      </c>
      <c r="J14" s="6" t="n">
        <v>1</v>
      </c>
      <c r="K14" s="6" t="n">
        <v>18.9</v>
      </c>
    </row>
    <row r="15" customFormat="false" ht="15" hidden="false" customHeight="false" outlineLevel="0" collapsed="false">
      <c r="A15" s="4" t="n">
        <v>11</v>
      </c>
      <c r="B15" s="5" t="n">
        <v>46289</v>
      </c>
      <c r="C15" s="6" t="s">
        <v>13</v>
      </c>
      <c r="D15" s="6" t="s">
        <v>20</v>
      </c>
      <c r="E15" s="6" t="s">
        <v>25</v>
      </c>
      <c r="F15" s="6" t="s">
        <v>16</v>
      </c>
      <c r="G15" s="6" t="s">
        <v>17</v>
      </c>
      <c r="H15" s="6" t="s">
        <v>18</v>
      </c>
      <c r="I15" s="6" t="n">
        <v>4</v>
      </c>
      <c r="J15" s="6" t="n">
        <v>2.4</v>
      </c>
      <c r="K15" s="6" t="n">
        <v>11.8</v>
      </c>
    </row>
    <row r="16" customFormat="false" ht="15" hidden="false" customHeight="false" outlineLevel="0" collapsed="false">
      <c r="A16" s="4" t="n">
        <v>12</v>
      </c>
      <c r="B16" s="5" t="n">
        <v>46239</v>
      </c>
      <c r="C16" s="6" t="s">
        <v>19</v>
      </c>
      <c r="D16" s="6" t="s">
        <v>20</v>
      </c>
      <c r="E16" s="6" t="s">
        <v>21</v>
      </c>
      <c r="F16" s="6" t="s">
        <v>16</v>
      </c>
      <c r="G16" s="6" t="s">
        <v>17</v>
      </c>
      <c r="H16" s="6" t="s">
        <v>18</v>
      </c>
      <c r="I16" s="6" t="n">
        <v>6</v>
      </c>
      <c r="J16" s="6" t="n">
        <v>3.8</v>
      </c>
      <c r="K16" s="6" t="n">
        <v>9.7</v>
      </c>
    </row>
    <row r="17" customFormat="false" ht="15" hidden="false" customHeight="false" outlineLevel="0" collapsed="false">
      <c r="A17" s="4" t="n">
        <v>13</v>
      </c>
      <c r="B17" s="5" t="n">
        <v>46272</v>
      </c>
      <c r="C17" s="6" t="s">
        <v>32</v>
      </c>
      <c r="D17" s="6" t="s">
        <v>20</v>
      </c>
      <c r="E17" s="6" t="s">
        <v>15</v>
      </c>
      <c r="F17" s="6" t="s">
        <v>16</v>
      </c>
      <c r="G17" s="6" t="s">
        <v>17</v>
      </c>
      <c r="H17" s="6" t="s">
        <v>30</v>
      </c>
      <c r="I17" s="6" t="n">
        <v>2</v>
      </c>
      <c r="J17" s="6" t="n">
        <v>1.5</v>
      </c>
      <c r="K17" s="6" t="n">
        <v>14.6</v>
      </c>
    </row>
    <row r="18" customFormat="false" ht="15" hidden="false" customHeight="false" outlineLevel="0" collapsed="false">
      <c r="A18" s="4" t="n">
        <v>14</v>
      </c>
      <c r="B18" s="5" t="n">
        <v>46245</v>
      </c>
      <c r="C18" s="6" t="s">
        <v>13</v>
      </c>
      <c r="D18" s="6" t="s">
        <v>20</v>
      </c>
      <c r="E18" s="6" t="s">
        <v>21</v>
      </c>
      <c r="F18" s="6" t="s">
        <v>22</v>
      </c>
      <c r="G18" s="6" t="s">
        <v>26</v>
      </c>
      <c r="H18" s="6" t="s">
        <v>27</v>
      </c>
      <c r="I18" s="6" t="n">
        <v>4</v>
      </c>
      <c r="J18" s="6" t="n">
        <v>1.7</v>
      </c>
      <c r="K18" s="6" t="n">
        <v>16.2</v>
      </c>
    </row>
    <row r="19" customFormat="false" ht="15" hidden="false" customHeight="false" outlineLevel="0" collapsed="false">
      <c r="A19" s="4" t="n">
        <v>15</v>
      </c>
      <c r="B19" s="5" t="n">
        <v>46241</v>
      </c>
      <c r="C19" s="6" t="s">
        <v>19</v>
      </c>
      <c r="D19" s="6" t="s">
        <v>14</v>
      </c>
      <c r="E19" s="6" t="s">
        <v>25</v>
      </c>
      <c r="F19" s="6" t="s">
        <v>22</v>
      </c>
      <c r="G19" s="6" t="s">
        <v>17</v>
      </c>
      <c r="H19" s="6" t="s">
        <v>18</v>
      </c>
      <c r="I19" s="6" t="n">
        <v>3</v>
      </c>
      <c r="J19" s="6" t="n">
        <v>2.6</v>
      </c>
      <c r="K19" s="6" t="n">
        <v>10.1</v>
      </c>
    </row>
    <row r="20" customFormat="false" ht="15" hidden="false" customHeight="false" outlineLevel="0" collapsed="false">
      <c r="A20" s="4" t="n">
        <v>16</v>
      </c>
      <c r="B20" s="5" t="n">
        <v>46239</v>
      </c>
      <c r="C20" s="6" t="s">
        <v>19</v>
      </c>
      <c r="D20" s="6" t="s">
        <v>20</v>
      </c>
      <c r="E20" s="6" t="s">
        <v>15</v>
      </c>
      <c r="F20" s="6" t="s">
        <v>28</v>
      </c>
      <c r="G20" s="6" t="s">
        <v>29</v>
      </c>
      <c r="H20" s="6" t="s">
        <v>18</v>
      </c>
      <c r="I20" s="6" t="n">
        <v>3</v>
      </c>
      <c r="J20" s="6" t="n">
        <v>2.3</v>
      </c>
      <c r="K20" s="6" t="n">
        <v>17.1</v>
      </c>
    </row>
    <row r="21" customFormat="false" ht="15" hidden="false" customHeight="false" outlineLevel="0" collapsed="false">
      <c r="A21" s="4" t="n">
        <v>17</v>
      </c>
      <c r="B21" s="5" t="n">
        <v>46239</v>
      </c>
      <c r="C21" s="6" t="s">
        <v>32</v>
      </c>
      <c r="D21" s="6" t="s">
        <v>14</v>
      </c>
      <c r="E21" s="6" t="s">
        <v>15</v>
      </c>
      <c r="F21" s="6" t="s">
        <v>16</v>
      </c>
      <c r="G21" s="6" t="s">
        <v>23</v>
      </c>
      <c r="H21" s="6" t="s">
        <v>18</v>
      </c>
      <c r="I21" s="6" t="n">
        <v>3</v>
      </c>
      <c r="J21" s="6" t="n">
        <v>1.3</v>
      </c>
      <c r="K21" s="6" t="n">
        <v>16.4</v>
      </c>
    </row>
    <row r="22" customFormat="false" ht="15" hidden="false" customHeight="false" outlineLevel="0" collapsed="false">
      <c r="A22" s="4" t="n">
        <v>18</v>
      </c>
      <c r="B22" s="5" t="n">
        <v>46243</v>
      </c>
      <c r="C22" s="6" t="s">
        <v>32</v>
      </c>
      <c r="D22" s="6" t="s">
        <v>14</v>
      </c>
      <c r="E22" s="6" t="s">
        <v>21</v>
      </c>
      <c r="F22" s="6" t="s">
        <v>16</v>
      </c>
      <c r="G22" s="6" t="s">
        <v>26</v>
      </c>
      <c r="H22" s="6" t="s">
        <v>31</v>
      </c>
      <c r="I22" s="6" t="n">
        <v>4</v>
      </c>
      <c r="J22" s="6" t="n">
        <v>3.4</v>
      </c>
      <c r="K22" s="6" t="n">
        <v>19.7</v>
      </c>
    </row>
    <row r="23" customFormat="false" ht="15" hidden="false" customHeight="false" outlineLevel="0" collapsed="false">
      <c r="A23" s="4" t="n">
        <v>19</v>
      </c>
      <c r="B23" s="5" t="n">
        <v>46279</v>
      </c>
      <c r="C23" s="6" t="s">
        <v>32</v>
      </c>
      <c r="D23" s="6" t="s">
        <v>20</v>
      </c>
      <c r="E23" s="6" t="s">
        <v>25</v>
      </c>
      <c r="F23" s="6" t="s">
        <v>28</v>
      </c>
      <c r="G23" s="6" t="s">
        <v>17</v>
      </c>
      <c r="H23" s="6" t="s">
        <v>31</v>
      </c>
      <c r="I23" s="6" t="n">
        <v>1</v>
      </c>
      <c r="J23" s="6" t="n">
        <v>0.6</v>
      </c>
      <c r="K23" s="6" t="n">
        <v>8.3</v>
      </c>
    </row>
    <row r="24" customFormat="false" ht="15" hidden="false" customHeight="false" outlineLevel="0" collapsed="false">
      <c r="A24" s="4" t="n">
        <v>20</v>
      </c>
      <c r="B24" s="5" t="n">
        <v>46258</v>
      </c>
      <c r="C24" s="6" t="s">
        <v>13</v>
      </c>
      <c r="D24" s="6" t="s">
        <v>20</v>
      </c>
      <c r="E24" s="6" t="s">
        <v>21</v>
      </c>
      <c r="F24" s="6" t="s">
        <v>16</v>
      </c>
      <c r="G24" s="6" t="s">
        <v>17</v>
      </c>
      <c r="H24" s="6" t="s">
        <v>33</v>
      </c>
      <c r="I24" s="6" t="n">
        <v>3</v>
      </c>
      <c r="J24" s="6" t="n">
        <v>1.3</v>
      </c>
      <c r="K24" s="6" t="n">
        <v>18.5</v>
      </c>
    </row>
    <row r="25" customFormat="false" ht="15" hidden="false" customHeight="false" outlineLevel="0" collapsed="false">
      <c r="A25" s="4" t="n">
        <v>21</v>
      </c>
      <c r="B25" s="5" t="n">
        <v>46265</v>
      </c>
      <c r="C25" s="6" t="s">
        <v>19</v>
      </c>
      <c r="D25" s="6" t="s">
        <v>14</v>
      </c>
      <c r="E25" s="6" t="s">
        <v>25</v>
      </c>
      <c r="F25" s="6" t="s">
        <v>22</v>
      </c>
      <c r="G25" s="6" t="s">
        <v>29</v>
      </c>
      <c r="H25" s="6" t="s">
        <v>31</v>
      </c>
      <c r="I25" s="6" t="n">
        <v>1</v>
      </c>
      <c r="J25" s="6" t="n">
        <v>0.4</v>
      </c>
      <c r="K25" s="6" t="n">
        <v>17.8</v>
      </c>
    </row>
    <row r="26" customFormat="false" ht="15" hidden="false" customHeight="false" outlineLevel="0" collapsed="false">
      <c r="A26" s="4" t="n">
        <v>22</v>
      </c>
      <c r="B26" s="5" t="n">
        <v>46275</v>
      </c>
      <c r="C26" s="6" t="s">
        <v>19</v>
      </c>
      <c r="D26" s="6" t="s">
        <v>14</v>
      </c>
      <c r="E26" s="6" t="s">
        <v>15</v>
      </c>
      <c r="F26" s="6" t="s">
        <v>34</v>
      </c>
      <c r="G26" s="6" t="s">
        <v>17</v>
      </c>
      <c r="H26" s="6" t="s">
        <v>18</v>
      </c>
      <c r="I26" s="6" t="n">
        <v>6</v>
      </c>
      <c r="J26" s="6" t="n">
        <v>3.8</v>
      </c>
      <c r="K26" s="6" t="n">
        <v>11.7</v>
      </c>
    </row>
    <row r="27" customFormat="false" ht="15" hidden="false" customHeight="false" outlineLevel="0" collapsed="false">
      <c r="A27" s="4" t="n">
        <v>23</v>
      </c>
      <c r="B27" s="5" t="n">
        <v>46264</v>
      </c>
      <c r="C27" s="6" t="s">
        <v>13</v>
      </c>
      <c r="D27" s="6" t="s">
        <v>20</v>
      </c>
      <c r="E27" s="6" t="s">
        <v>21</v>
      </c>
      <c r="F27" s="6" t="s">
        <v>28</v>
      </c>
      <c r="G27" s="6" t="s">
        <v>26</v>
      </c>
      <c r="H27" s="6" t="s">
        <v>18</v>
      </c>
      <c r="I27" s="6" t="n">
        <v>2</v>
      </c>
      <c r="J27" s="6" t="n">
        <v>1.3</v>
      </c>
      <c r="K27" s="6" t="n">
        <v>22.5</v>
      </c>
    </row>
    <row r="28" customFormat="false" ht="15" hidden="false" customHeight="false" outlineLevel="0" collapsed="false">
      <c r="A28" s="4" t="n">
        <v>24</v>
      </c>
      <c r="B28" s="5" t="n">
        <v>46274</v>
      </c>
      <c r="C28" s="6" t="s">
        <v>13</v>
      </c>
      <c r="D28" s="6" t="s">
        <v>14</v>
      </c>
      <c r="E28" s="6" t="s">
        <v>15</v>
      </c>
      <c r="F28" s="6" t="s">
        <v>28</v>
      </c>
      <c r="G28" s="6" t="s">
        <v>23</v>
      </c>
      <c r="H28" s="6" t="s">
        <v>18</v>
      </c>
      <c r="I28" s="6" t="n">
        <v>6</v>
      </c>
      <c r="J28" s="6" t="n">
        <v>3</v>
      </c>
      <c r="K28" s="6" t="n">
        <v>18.6</v>
      </c>
    </row>
    <row r="29" customFormat="false" ht="15" hidden="false" customHeight="false" outlineLevel="0" collapsed="false">
      <c r="A29" s="4" t="n">
        <v>25</v>
      </c>
      <c r="B29" s="5" t="n">
        <v>46245</v>
      </c>
      <c r="C29" s="6" t="s">
        <v>32</v>
      </c>
      <c r="D29" s="6" t="s">
        <v>14</v>
      </c>
      <c r="E29" s="6" t="s">
        <v>15</v>
      </c>
      <c r="F29" s="6" t="s">
        <v>16</v>
      </c>
      <c r="G29" s="6" t="s">
        <v>17</v>
      </c>
      <c r="H29" s="6" t="s">
        <v>18</v>
      </c>
      <c r="I29" s="6" t="n">
        <v>3</v>
      </c>
      <c r="J29" s="6" t="n">
        <v>2.5</v>
      </c>
      <c r="K29" s="6" t="n">
        <v>12.2</v>
      </c>
    </row>
    <row r="30" customFormat="false" ht="15" hidden="false" customHeight="false" outlineLevel="0" collapsed="false">
      <c r="A30" s="4" t="n">
        <v>26</v>
      </c>
      <c r="B30" s="5" t="n">
        <v>46259</v>
      </c>
      <c r="C30" s="6" t="s">
        <v>19</v>
      </c>
      <c r="D30" s="6" t="s">
        <v>14</v>
      </c>
      <c r="E30" s="6" t="s">
        <v>25</v>
      </c>
      <c r="F30" s="6" t="s">
        <v>16</v>
      </c>
      <c r="G30" s="6" t="s">
        <v>17</v>
      </c>
      <c r="H30" s="6" t="s">
        <v>18</v>
      </c>
      <c r="I30" s="6" t="n">
        <v>2</v>
      </c>
      <c r="J30" s="6" t="n">
        <v>1.5</v>
      </c>
      <c r="K30" s="6" t="n">
        <v>13.5</v>
      </c>
    </row>
    <row r="31" customFormat="false" ht="15" hidden="false" customHeight="false" outlineLevel="0" collapsed="false">
      <c r="A31" s="4" t="n">
        <v>27</v>
      </c>
      <c r="B31" s="5" t="n">
        <v>46252</v>
      </c>
      <c r="C31" s="6" t="s">
        <v>19</v>
      </c>
      <c r="D31" s="6" t="s">
        <v>20</v>
      </c>
      <c r="E31" s="6" t="s">
        <v>15</v>
      </c>
      <c r="F31" s="6" t="s">
        <v>22</v>
      </c>
      <c r="G31" s="6" t="s">
        <v>17</v>
      </c>
      <c r="H31" s="6" t="s">
        <v>18</v>
      </c>
      <c r="I31" s="6" t="n">
        <v>5</v>
      </c>
      <c r="J31" s="6" t="n">
        <v>3.7</v>
      </c>
      <c r="K31" s="6" t="n">
        <v>9.1</v>
      </c>
    </row>
    <row r="32" customFormat="false" ht="15" hidden="false" customHeight="false" outlineLevel="0" collapsed="false">
      <c r="A32" s="4" t="n">
        <v>28</v>
      </c>
      <c r="B32" s="5" t="n">
        <v>46280</v>
      </c>
      <c r="C32" s="6" t="s">
        <v>13</v>
      </c>
      <c r="D32" s="6" t="s">
        <v>14</v>
      </c>
      <c r="E32" s="6" t="s">
        <v>15</v>
      </c>
      <c r="F32" s="6" t="s">
        <v>28</v>
      </c>
      <c r="G32" s="6" t="s">
        <v>17</v>
      </c>
      <c r="H32" s="6" t="s">
        <v>33</v>
      </c>
      <c r="I32" s="6" t="n">
        <v>5</v>
      </c>
      <c r="J32" s="6" t="n">
        <v>2.1</v>
      </c>
      <c r="K32" s="6" t="n">
        <v>12.9</v>
      </c>
    </row>
    <row r="33" customFormat="false" ht="15" hidden="false" customHeight="false" outlineLevel="0" collapsed="false">
      <c r="A33" s="4" t="n">
        <v>29</v>
      </c>
      <c r="B33" s="5" t="n">
        <v>46280</v>
      </c>
      <c r="C33" s="6" t="s">
        <v>32</v>
      </c>
      <c r="D33" s="6" t="s">
        <v>14</v>
      </c>
      <c r="E33" s="6" t="s">
        <v>15</v>
      </c>
      <c r="F33" s="6" t="s">
        <v>28</v>
      </c>
      <c r="G33" s="6" t="s">
        <v>29</v>
      </c>
      <c r="H33" s="6" t="s">
        <v>30</v>
      </c>
      <c r="I33" s="6" t="n">
        <v>3</v>
      </c>
      <c r="J33" s="6" t="n">
        <v>1.6</v>
      </c>
      <c r="K33" s="6" t="n">
        <v>17.6</v>
      </c>
    </row>
    <row r="34" customFormat="false" ht="15" hidden="false" customHeight="false" outlineLevel="0" collapsed="false">
      <c r="A34" s="4" t="n">
        <v>30</v>
      </c>
      <c r="B34" s="5" t="n">
        <v>46244</v>
      </c>
      <c r="C34" s="6" t="s">
        <v>19</v>
      </c>
      <c r="D34" s="6" t="s">
        <v>20</v>
      </c>
      <c r="E34" s="6" t="s">
        <v>15</v>
      </c>
      <c r="F34" s="6" t="s">
        <v>28</v>
      </c>
      <c r="G34" s="6" t="s">
        <v>17</v>
      </c>
      <c r="H34" s="6" t="s">
        <v>30</v>
      </c>
      <c r="I34" s="6" t="n">
        <v>1</v>
      </c>
      <c r="J34" s="6" t="n">
        <v>0.7</v>
      </c>
      <c r="K34" s="6" t="n">
        <v>11.6</v>
      </c>
    </row>
    <row r="35" customFormat="false" ht="15" hidden="false" customHeight="false" outlineLevel="0" collapsed="false">
      <c r="A35" s="4" t="n">
        <v>31</v>
      </c>
      <c r="B35" s="5" t="n">
        <v>46247</v>
      </c>
      <c r="C35" s="6" t="s">
        <v>32</v>
      </c>
      <c r="D35" s="6" t="s">
        <v>14</v>
      </c>
      <c r="E35" s="6" t="s">
        <v>25</v>
      </c>
      <c r="F35" s="6" t="s">
        <v>28</v>
      </c>
      <c r="G35" s="6" t="s">
        <v>26</v>
      </c>
      <c r="H35" s="6" t="s">
        <v>33</v>
      </c>
      <c r="I35" s="6" t="n">
        <v>3</v>
      </c>
      <c r="J35" s="6" t="n">
        <v>2</v>
      </c>
      <c r="K35" s="6" t="n">
        <v>18.6</v>
      </c>
    </row>
    <row r="36" customFormat="false" ht="15" hidden="false" customHeight="false" outlineLevel="0" collapsed="false">
      <c r="A36" s="4" t="n">
        <v>32</v>
      </c>
      <c r="B36" s="5" t="n">
        <v>46268</v>
      </c>
      <c r="C36" s="6" t="s">
        <v>13</v>
      </c>
      <c r="D36" s="6" t="s">
        <v>20</v>
      </c>
      <c r="E36" s="6" t="s">
        <v>15</v>
      </c>
      <c r="F36" s="6" t="s">
        <v>16</v>
      </c>
      <c r="G36" s="6" t="s">
        <v>29</v>
      </c>
      <c r="H36" s="6" t="s">
        <v>18</v>
      </c>
      <c r="I36" s="6" t="n">
        <v>7</v>
      </c>
      <c r="J36" s="6" t="n">
        <v>4.2</v>
      </c>
      <c r="K36" s="6" t="n">
        <v>19.3</v>
      </c>
    </row>
    <row r="37" customFormat="false" ht="15" hidden="false" customHeight="false" outlineLevel="0" collapsed="false">
      <c r="A37" s="4" t="n">
        <v>33</v>
      </c>
      <c r="B37" s="5" t="n">
        <v>46263</v>
      </c>
      <c r="C37" s="6" t="s">
        <v>32</v>
      </c>
      <c r="D37" s="6" t="s">
        <v>20</v>
      </c>
      <c r="E37" s="6" t="s">
        <v>21</v>
      </c>
      <c r="F37" s="6" t="s">
        <v>28</v>
      </c>
      <c r="G37" s="6" t="s">
        <v>17</v>
      </c>
      <c r="H37" s="6" t="s">
        <v>18</v>
      </c>
      <c r="I37" s="6" t="n">
        <v>4</v>
      </c>
      <c r="J37" s="6" t="n">
        <v>2.5</v>
      </c>
      <c r="K37" s="6" t="n">
        <v>14.1</v>
      </c>
    </row>
    <row r="38" customFormat="false" ht="15" hidden="false" customHeight="false" outlineLevel="0" collapsed="false">
      <c r="A38" s="4" t="n">
        <v>34</v>
      </c>
      <c r="B38" s="5" t="n">
        <v>46276</v>
      </c>
      <c r="C38" s="6" t="s">
        <v>19</v>
      </c>
      <c r="D38" s="6" t="s">
        <v>20</v>
      </c>
      <c r="E38" s="6" t="s">
        <v>21</v>
      </c>
      <c r="F38" s="6" t="s">
        <v>28</v>
      </c>
      <c r="G38" s="6" t="s">
        <v>17</v>
      </c>
      <c r="H38" s="6" t="s">
        <v>18</v>
      </c>
      <c r="I38" s="6" t="n">
        <v>2</v>
      </c>
      <c r="J38" s="6" t="n">
        <v>1.8</v>
      </c>
      <c r="K38" s="6" t="n">
        <v>9</v>
      </c>
    </row>
    <row r="39" customFormat="false" ht="15" hidden="false" customHeight="false" outlineLevel="0" collapsed="false">
      <c r="A39" s="4" t="n">
        <v>35</v>
      </c>
      <c r="B39" s="5" t="n">
        <v>46269</v>
      </c>
      <c r="C39" s="6" t="s">
        <v>32</v>
      </c>
      <c r="D39" s="6" t="s">
        <v>14</v>
      </c>
      <c r="E39" s="6" t="s">
        <v>21</v>
      </c>
      <c r="F39" s="6" t="s">
        <v>28</v>
      </c>
      <c r="G39" s="6" t="s">
        <v>26</v>
      </c>
      <c r="H39" s="6" t="s">
        <v>18</v>
      </c>
      <c r="I39" s="6" t="n">
        <v>4</v>
      </c>
      <c r="J39" s="6" t="n">
        <v>2.6</v>
      </c>
      <c r="K39" s="6" t="n">
        <v>15.9</v>
      </c>
    </row>
    <row r="40" customFormat="false" ht="15" hidden="false" customHeight="false" outlineLevel="0" collapsed="false">
      <c r="A40" s="4" t="n">
        <v>36</v>
      </c>
      <c r="B40" s="5" t="n">
        <v>46236</v>
      </c>
      <c r="C40" s="6" t="s">
        <v>19</v>
      </c>
      <c r="D40" s="6" t="s">
        <v>20</v>
      </c>
      <c r="E40" s="6" t="s">
        <v>15</v>
      </c>
      <c r="F40" s="6" t="s">
        <v>28</v>
      </c>
      <c r="G40" s="6" t="s">
        <v>17</v>
      </c>
      <c r="H40" s="6" t="s">
        <v>18</v>
      </c>
      <c r="I40" s="6" t="n">
        <v>3</v>
      </c>
      <c r="J40" s="6" t="n">
        <v>1.9</v>
      </c>
      <c r="K40" s="6" t="n">
        <v>12.4</v>
      </c>
    </row>
    <row r="41" customFormat="false" ht="15" hidden="false" customHeight="false" outlineLevel="0" collapsed="false">
      <c r="A41" s="4" t="n">
        <v>37</v>
      </c>
      <c r="B41" s="5" t="n">
        <v>46268</v>
      </c>
      <c r="C41" s="6" t="s">
        <v>13</v>
      </c>
      <c r="D41" s="6" t="s">
        <v>14</v>
      </c>
      <c r="E41" s="6" t="s">
        <v>15</v>
      </c>
      <c r="F41" s="6" t="s">
        <v>28</v>
      </c>
      <c r="G41" s="6" t="s">
        <v>29</v>
      </c>
      <c r="H41" s="6" t="s">
        <v>33</v>
      </c>
      <c r="I41" s="6" t="n">
        <v>5</v>
      </c>
      <c r="J41" s="6" t="n">
        <v>3.6</v>
      </c>
      <c r="K41" s="6" t="n">
        <v>16.5</v>
      </c>
    </row>
    <row r="42" customFormat="false" ht="15" hidden="false" customHeight="false" outlineLevel="0" collapsed="false">
      <c r="A42" s="4" t="n">
        <v>38</v>
      </c>
      <c r="B42" s="5" t="n">
        <v>46268</v>
      </c>
      <c r="C42" s="6" t="s">
        <v>13</v>
      </c>
      <c r="D42" s="6" t="s">
        <v>14</v>
      </c>
      <c r="E42" s="6" t="s">
        <v>15</v>
      </c>
      <c r="F42" s="6" t="s">
        <v>22</v>
      </c>
      <c r="G42" s="6" t="s">
        <v>23</v>
      </c>
      <c r="H42" s="6" t="s">
        <v>24</v>
      </c>
      <c r="I42" s="6" t="n">
        <v>3</v>
      </c>
      <c r="J42" s="6" t="n">
        <v>2.5</v>
      </c>
      <c r="K42" s="6" t="n">
        <v>17.8</v>
      </c>
    </row>
    <row r="43" customFormat="false" ht="15" hidden="false" customHeight="false" outlineLevel="0" collapsed="false">
      <c r="A43" s="4" t="n">
        <v>39</v>
      </c>
      <c r="B43" s="5" t="n">
        <v>46269</v>
      </c>
      <c r="C43" s="6" t="s">
        <v>13</v>
      </c>
      <c r="D43" s="6" t="s">
        <v>14</v>
      </c>
      <c r="E43" s="6" t="s">
        <v>21</v>
      </c>
      <c r="F43" s="6" t="s">
        <v>22</v>
      </c>
      <c r="G43" s="6" t="s">
        <v>17</v>
      </c>
      <c r="H43" s="6" t="s">
        <v>18</v>
      </c>
      <c r="I43" s="6" t="n">
        <v>2</v>
      </c>
      <c r="J43" s="6" t="n">
        <v>1.3</v>
      </c>
      <c r="K43" s="6" t="n">
        <v>8.8</v>
      </c>
    </row>
    <row r="44" customFormat="false" ht="15" hidden="false" customHeight="false" outlineLevel="0" collapsed="false">
      <c r="A44" s="4" t="n">
        <v>40</v>
      </c>
      <c r="B44" s="5" t="n">
        <v>46237</v>
      </c>
      <c r="C44" s="6" t="s">
        <v>13</v>
      </c>
      <c r="D44" s="6" t="s">
        <v>14</v>
      </c>
      <c r="E44" s="6" t="s">
        <v>21</v>
      </c>
      <c r="F44" s="6" t="s">
        <v>28</v>
      </c>
      <c r="G44" s="6" t="s">
        <v>23</v>
      </c>
      <c r="H44" s="6" t="s">
        <v>31</v>
      </c>
      <c r="I44" s="6" t="n">
        <v>1</v>
      </c>
      <c r="J44" s="6" t="n">
        <v>0.9</v>
      </c>
      <c r="K44" s="6" t="n">
        <v>18</v>
      </c>
    </row>
    <row r="45" customFormat="false" ht="15" hidden="false" customHeight="false" outlineLevel="0" collapsed="false">
      <c r="A45" s="4" t="n">
        <v>41</v>
      </c>
      <c r="B45" s="5" t="n">
        <v>46264</v>
      </c>
      <c r="C45" s="6" t="s">
        <v>32</v>
      </c>
      <c r="D45" s="6" t="s">
        <v>14</v>
      </c>
      <c r="E45" s="6" t="s">
        <v>15</v>
      </c>
      <c r="F45" s="6" t="s">
        <v>16</v>
      </c>
      <c r="G45" s="6" t="s">
        <v>23</v>
      </c>
      <c r="H45" s="6" t="s">
        <v>31</v>
      </c>
      <c r="I45" s="6" t="n">
        <v>4</v>
      </c>
      <c r="J45" s="6" t="n">
        <v>2.6</v>
      </c>
      <c r="K45" s="6" t="n">
        <v>15.9</v>
      </c>
    </row>
    <row r="46" customFormat="false" ht="15" hidden="false" customHeight="false" outlineLevel="0" collapsed="false">
      <c r="A46" s="4" t="n">
        <v>42</v>
      </c>
      <c r="B46" s="5" t="n">
        <v>46241</v>
      </c>
      <c r="C46" s="6" t="s">
        <v>19</v>
      </c>
      <c r="D46" s="6" t="s">
        <v>14</v>
      </c>
      <c r="E46" s="6" t="s">
        <v>21</v>
      </c>
      <c r="F46" s="6" t="s">
        <v>28</v>
      </c>
      <c r="G46" s="6" t="s">
        <v>23</v>
      </c>
      <c r="H46" s="6" t="s">
        <v>27</v>
      </c>
      <c r="I46" s="6" t="n">
        <v>1</v>
      </c>
      <c r="J46" s="6" t="n">
        <v>0.4</v>
      </c>
      <c r="K46" s="6" t="n">
        <v>21.3</v>
      </c>
    </row>
    <row r="47" customFormat="false" ht="15" hidden="false" customHeight="false" outlineLevel="0" collapsed="false">
      <c r="A47" s="4" t="n">
        <v>43</v>
      </c>
      <c r="B47" s="5" t="n">
        <v>46244</v>
      </c>
      <c r="C47" s="6" t="s">
        <v>19</v>
      </c>
      <c r="D47" s="6" t="s">
        <v>20</v>
      </c>
      <c r="E47" s="6" t="s">
        <v>21</v>
      </c>
      <c r="F47" s="6" t="s">
        <v>34</v>
      </c>
      <c r="G47" s="6" t="s">
        <v>17</v>
      </c>
      <c r="H47" s="6" t="s">
        <v>18</v>
      </c>
      <c r="I47" s="6" t="n">
        <v>7</v>
      </c>
      <c r="J47" s="6" t="n">
        <v>4.8</v>
      </c>
      <c r="K47" s="6" t="n">
        <v>10.8</v>
      </c>
    </row>
    <row r="48" customFormat="false" ht="15" hidden="false" customHeight="false" outlineLevel="0" collapsed="false">
      <c r="A48" s="4" t="n">
        <v>44</v>
      </c>
      <c r="B48" s="5" t="n">
        <v>46289</v>
      </c>
      <c r="C48" s="6" t="s">
        <v>13</v>
      </c>
      <c r="D48" s="6" t="s">
        <v>14</v>
      </c>
      <c r="E48" s="6" t="s">
        <v>21</v>
      </c>
      <c r="F48" s="6" t="s">
        <v>16</v>
      </c>
      <c r="G48" s="6" t="s">
        <v>29</v>
      </c>
      <c r="H48" s="6" t="s">
        <v>30</v>
      </c>
      <c r="I48" s="6" t="n">
        <v>1</v>
      </c>
      <c r="J48" s="6" t="n">
        <v>0.6</v>
      </c>
      <c r="K48" s="6" t="n">
        <v>17.4</v>
      </c>
    </row>
    <row r="49" customFormat="false" ht="15" hidden="false" customHeight="false" outlineLevel="0" collapsed="false">
      <c r="A49" s="4" t="n">
        <v>45</v>
      </c>
      <c r="B49" s="5" t="n">
        <v>46261</v>
      </c>
      <c r="C49" s="6" t="s">
        <v>13</v>
      </c>
      <c r="D49" s="6" t="s">
        <v>20</v>
      </c>
      <c r="E49" s="6" t="s">
        <v>21</v>
      </c>
      <c r="F49" s="6" t="s">
        <v>16</v>
      </c>
      <c r="G49" s="6" t="s">
        <v>23</v>
      </c>
      <c r="H49" s="6" t="s">
        <v>27</v>
      </c>
      <c r="I49" s="6" t="n">
        <v>5</v>
      </c>
      <c r="J49" s="6" t="n">
        <v>3.5</v>
      </c>
      <c r="K49" s="6" t="n">
        <v>14.5</v>
      </c>
    </row>
    <row r="50" customFormat="false" ht="15" hidden="false" customHeight="false" outlineLevel="0" collapsed="false">
      <c r="A50" s="4" t="n">
        <v>46</v>
      </c>
      <c r="B50" s="5" t="n">
        <v>46243</v>
      </c>
      <c r="C50" s="6" t="s">
        <v>19</v>
      </c>
      <c r="D50" s="6" t="s">
        <v>14</v>
      </c>
      <c r="E50" s="6" t="s">
        <v>25</v>
      </c>
      <c r="F50" s="6" t="s">
        <v>34</v>
      </c>
      <c r="G50" s="6" t="s">
        <v>23</v>
      </c>
      <c r="H50" s="6" t="s">
        <v>30</v>
      </c>
      <c r="I50" s="6" t="n">
        <v>2</v>
      </c>
      <c r="J50" s="6" t="n">
        <v>1.6</v>
      </c>
      <c r="K50" s="6" t="n">
        <v>17.3</v>
      </c>
    </row>
    <row r="51" customFormat="false" ht="15" hidden="false" customHeight="false" outlineLevel="0" collapsed="false">
      <c r="A51" s="4" t="n">
        <v>47</v>
      </c>
      <c r="B51" s="5" t="n">
        <v>46247</v>
      </c>
      <c r="C51" s="6" t="s">
        <v>19</v>
      </c>
      <c r="D51" s="6" t="s">
        <v>20</v>
      </c>
      <c r="E51" s="6" t="s">
        <v>25</v>
      </c>
      <c r="F51" s="6" t="s">
        <v>16</v>
      </c>
      <c r="G51" s="6" t="s">
        <v>17</v>
      </c>
      <c r="H51" s="6" t="s">
        <v>30</v>
      </c>
      <c r="I51" s="6" t="n">
        <v>4</v>
      </c>
      <c r="J51" s="6" t="n">
        <v>2.7</v>
      </c>
      <c r="K51" s="6" t="n">
        <v>9.9</v>
      </c>
    </row>
    <row r="52" customFormat="false" ht="15" hidden="false" customHeight="false" outlineLevel="0" collapsed="false">
      <c r="A52" s="4" t="n">
        <v>48</v>
      </c>
      <c r="B52" s="5" t="n">
        <v>46280</v>
      </c>
      <c r="C52" s="6" t="s">
        <v>19</v>
      </c>
      <c r="D52" s="6" t="s">
        <v>20</v>
      </c>
      <c r="E52" s="6" t="s">
        <v>15</v>
      </c>
      <c r="F52" s="6" t="s">
        <v>28</v>
      </c>
      <c r="G52" s="6" t="s">
        <v>17</v>
      </c>
      <c r="H52" s="6" t="s">
        <v>18</v>
      </c>
      <c r="I52" s="6" t="n">
        <v>4</v>
      </c>
      <c r="J52" s="6" t="n">
        <v>3.4</v>
      </c>
      <c r="K52" s="6" t="n">
        <v>12.9</v>
      </c>
    </row>
    <row r="53" customFormat="false" ht="15" hidden="false" customHeight="false" outlineLevel="0" collapsed="false">
      <c r="A53" s="4" t="n">
        <v>49</v>
      </c>
      <c r="B53" s="5" t="n">
        <v>46258</v>
      </c>
      <c r="C53" s="6" t="s">
        <v>19</v>
      </c>
      <c r="D53" s="6" t="s">
        <v>14</v>
      </c>
      <c r="E53" s="6" t="s">
        <v>21</v>
      </c>
      <c r="F53" s="6" t="s">
        <v>16</v>
      </c>
      <c r="G53" s="6" t="s">
        <v>29</v>
      </c>
      <c r="H53" s="6" t="s">
        <v>33</v>
      </c>
      <c r="I53" s="6" t="n">
        <v>5</v>
      </c>
      <c r="J53" s="6" t="n">
        <v>3.5</v>
      </c>
      <c r="K53" s="6" t="n">
        <v>18.4</v>
      </c>
    </row>
    <row r="54" customFormat="false" ht="15" hidden="false" customHeight="false" outlineLevel="0" collapsed="false">
      <c r="A54" s="4" t="n">
        <v>50</v>
      </c>
      <c r="B54" s="5" t="n">
        <v>46292</v>
      </c>
      <c r="C54" s="6" t="s">
        <v>13</v>
      </c>
      <c r="D54" s="6" t="s">
        <v>14</v>
      </c>
      <c r="E54" s="6" t="s">
        <v>25</v>
      </c>
      <c r="F54" s="6" t="s">
        <v>16</v>
      </c>
      <c r="G54" s="6" t="s">
        <v>17</v>
      </c>
      <c r="H54" s="6" t="s">
        <v>18</v>
      </c>
      <c r="I54" s="6" t="n">
        <v>3</v>
      </c>
      <c r="J54" s="6" t="n">
        <v>2.7</v>
      </c>
      <c r="K54" s="6" t="n">
        <v>11.8</v>
      </c>
    </row>
    <row r="56" customFormat="false" ht="15" hidden="false" customHeight="false" outlineLevel="0" collapsed="false">
      <c r="A56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31.5" hidden="false" customHeight="true" outlineLevel="0" collapsed="false">
      <c r="A4" s="3" t="s">
        <v>9</v>
      </c>
      <c r="B4" s="3" t="s">
        <v>38</v>
      </c>
      <c r="C4" s="3" t="s">
        <v>39</v>
      </c>
      <c r="D4" s="3" t="s">
        <v>40</v>
      </c>
    </row>
    <row r="5" customFormat="false" ht="15" hidden="false" customHeight="false" outlineLevel="0" collapsed="false">
      <c r="A5" s="7" t="s">
        <v>18</v>
      </c>
      <c r="B5" s="8" t="n">
        <f aca="false">SUMIF('Defect Log'!$H$5:$H$54,A5,'Defect Log'!$I$5:$I$54)</f>
        <v>88</v>
      </c>
      <c r="C5" s="9" t="n">
        <f aca="false">B5/SUM($B$5:$B$10)</f>
        <v>0.51764705882353</v>
      </c>
      <c r="D5" s="9" t="n">
        <f aca="false">C5</f>
        <v>0.51764705882353</v>
      </c>
    </row>
    <row r="6" customFormat="false" ht="15" hidden="false" customHeight="false" outlineLevel="0" collapsed="false">
      <c r="A6" s="7" t="s">
        <v>31</v>
      </c>
      <c r="B6" s="8" t="n">
        <f aca="false">SUMIF('Defect Log'!$H$5:$H$54,A6,'Defect Log'!$I$5:$I$54)</f>
        <v>15</v>
      </c>
      <c r="C6" s="9" t="n">
        <f aca="false">B6/SUM($B$5:$B$10)</f>
        <v>0.0882352941176471</v>
      </c>
      <c r="D6" s="9" t="n">
        <f aca="false">D5+C6</f>
        <v>0.605882352941177</v>
      </c>
    </row>
    <row r="7" customFormat="false" ht="15" hidden="false" customHeight="false" outlineLevel="0" collapsed="false">
      <c r="A7" s="7" t="s">
        <v>30</v>
      </c>
      <c r="B7" s="8" t="n">
        <f aca="false">SUMIF('Defect Log'!$H$5:$H$54,A7,'Defect Log'!$I$5:$I$54)</f>
        <v>16</v>
      </c>
      <c r="C7" s="9" t="n">
        <f aca="false">B7/SUM($B$5:$B$10)</f>
        <v>0.0941176470588235</v>
      </c>
      <c r="D7" s="9" t="n">
        <f aca="false">D6+C7</f>
        <v>0.7</v>
      </c>
    </row>
    <row r="8" customFormat="false" ht="15" hidden="false" customHeight="false" outlineLevel="0" collapsed="false">
      <c r="A8" s="7" t="s">
        <v>33</v>
      </c>
      <c r="B8" s="8" t="n">
        <f aca="false">SUMIF('Defect Log'!$H$5:$H$54,A8,'Defect Log'!$I$5:$I$54)</f>
        <v>22</v>
      </c>
      <c r="C8" s="9" t="n">
        <f aca="false">B8/SUM($B$5:$B$10)</f>
        <v>0.129411764705882</v>
      </c>
      <c r="D8" s="9" t="n">
        <f aca="false">D7+C8</f>
        <v>0.829411764705882</v>
      </c>
    </row>
    <row r="9" customFormat="false" ht="15" hidden="false" customHeight="false" outlineLevel="0" collapsed="false">
      <c r="A9" s="7" t="s">
        <v>27</v>
      </c>
      <c r="B9" s="8" t="n">
        <f aca="false">SUMIF('Defect Log'!$H$5:$H$54,A9,'Defect Log'!$I$5:$I$54)</f>
        <v>15</v>
      </c>
      <c r="C9" s="9" t="n">
        <f aca="false">B9/SUM($B$5:$B$10)</f>
        <v>0.0882352941176471</v>
      </c>
      <c r="D9" s="9" t="n">
        <f aca="false">D8+C9</f>
        <v>0.91764705882353</v>
      </c>
    </row>
    <row r="10" customFormat="false" ht="15" hidden="false" customHeight="false" outlineLevel="0" collapsed="false">
      <c r="A10" s="7" t="s">
        <v>24</v>
      </c>
      <c r="B10" s="8" t="n">
        <f aca="false">SUMIF('Defect Log'!$H$5:$H$54,A10,'Defect Log'!$I$5:$I$54)</f>
        <v>14</v>
      </c>
      <c r="C10" s="9" t="n">
        <f aca="false">B10/SUM($B$5:$B$10)</f>
        <v>0.0823529411764706</v>
      </c>
      <c r="D10" s="9" t="n">
        <f aca="false">D9+C10</f>
        <v>1</v>
      </c>
    </row>
    <row r="12" customFormat="false" ht="15" hidden="false" customHeight="false" outlineLevel="0" collapsed="false">
      <c r="A12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10" t="s">
        <v>44</v>
      </c>
      <c r="C4" s="11" t="n">
        <v>12</v>
      </c>
    </row>
    <row r="6" customFormat="false" ht="15" hidden="false" customHeight="false" outlineLevel="0" collapsed="false">
      <c r="A6" s="12" t="s">
        <v>45</v>
      </c>
      <c r="C6" s="13" t="n">
        <f aca="false">AVERAGE('Defect Log'!$K$5:$K$54)</f>
        <v>14.982</v>
      </c>
    </row>
    <row r="7" customFormat="false" ht="15" hidden="false" customHeight="false" outlineLevel="0" collapsed="false">
      <c r="A7" s="12" t="s">
        <v>46</v>
      </c>
      <c r="C7" s="13" t="n">
        <f aca="false">STDEV('Defect Log'!$K$5:$K$54)</f>
        <v>3.78292026274487</v>
      </c>
    </row>
    <row r="8" customFormat="false" ht="15" hidden="false" customHeight="false" outlineLevel="0" collapsed="false">
      <c r="A8" s="12" t="s">
        <v>47</v>
      </c>
      <c r="C8" s="14" t="n">
        <f aca="false">(C6-C4)/(3*C7)</f>
        <v>0.26275996610057</v>
      </c>
    </row>
    <row r="9" customFormat="false" ht="15" hidden="false" customHeight="false" outlineLevel="0" collapsed="false">
      <c r="A9" s="12" t="s">
        <v>48</v>
      </c>
      <c r="C9" s="13" t="n">
        <f aca="false">COUNT('Defect Log'!$K$5:$K$54)</f>
        <v>50</v>
      </c>
    </row>
    <row r="11" customFormat="false" ht="15" hidden="false" customHeight="false" outlineLevel="0" collapsed="false">
      <c r="A11" s="2" t="s">
        <v>49</v>
      </c>
    </row>
    <row r="12" customFormat="false" ht="15" hidden="false" customHeight="false" outlineLevel="0" collapsed="false">
      <c r="A12" s="2" t="s">
        <v>50</v>
      </c>
    </row>
    <row r="15" customFormat="false" ht="31.5" hidden="false" customHeight="true" outlineLevel="0" collapsed="false">
      <c r="A15" s="3" t="s">
        <v>2</v>
      </c>
      <c r="B15" s="3" t="s">
        <v>3</v>
      </c>
      <c r="C15" s="3" t="s">
        <v>8</v>
      </c>
      <c r="D15" s="3" t="s">
        <v>51</v>
      </c>
      <c r="E15" s="3" t="s">
        <v>52</v>
      </c>
    </row>
    <row r="16" customFormat="false" ht="15" hidden="false" customHeight="false" outlineLevel="0" collapsed="false">
      <c r="A16" s="8" t="n">
        <f aca="false">'Defect Log'!A5</f>
        <v>1</v>
      </c>
      <c r="B16" s="15" t="n">
        <f aca="false">'Defect Log'!B5</f>
        <v>46263</v>
      </c>
      <c r="C16" s="8" t="str">
        <f aca="false">'Defect Log'!G5</f>
        <v>B103</v>
      </c>
      <c r="D16" s="8" t="n">
        <f aca="false">'Defect Log'!K5</f>
        <v>9.1</v>
      </c>
      <c r="E16" s="8" t="n">
        <f aca="false">$C$4</f>
        <v>12</v>
      </c>
    </row>
    <row r="17" customFormat="false" ht="15" hidden="false" customHeight="false" outlineLevel="0" collapsed="false">
      <c r="A17" s="8" t="n">
        <f aca="false">'Defect Log'!A6</f>
        <v>2</v>
      </c>
      <c r="B17" s="15" t="n">
        <f aca="false">'Defect Log'!B6</f>
        <v>46244</v>
      </c>
      <c r="C17" s="8" t="str">
        <f aca="false">'Defect Log'!G6</f>
        <v>B102</v>
      </c>
      <c r="D17" s="8" t="n">
        <f aca="false">'Defect Log'!K6</f>
        <v>15.7</v>
      </c>
      <c r="E17" s="8" t="n">
        <f aca="false">$C$4</f>
        <v>12</v>
      </c>
    </row>
    <row r="18" customFormat="false" ht="15" hidden="false" customHeight="false" outlineLevel="0" collapsed="false">
      <c r="A18" s="8" t="n">
        <f aca="false">'Defect Log'!A7</f>
        <v>3</v>
      </c>
      <c r="B18" s="15" t="n">
        <f aca="false">'Defect Log'!B7</f>
        <v>46268</v>
      </c>
      <c r="C18" s="8" t="str">
        <f aca="false">'Defect Log'!G7</f>
        <v>B101</v>
      </c>
      <c r="D18" s="8" t="n">
        <f aca="false">'Defect Log'!K7</f>
        <v>18.3</v>
      </c>
      <c r="E18" s="8" t="n">
        <f aca="false">$C$4</f>
        <v>12</v>
      </c>
    </row>
    <row r="19" customFormat="false" ht="15" hidden="false" customHeight="false" outlineLevel="0" collapsed="false">
      <c r="A19" s="8" t="n">
        <f aca="false">'Defect Log'!A8</f>
        <v>4</v>
      </c>
      <c r="B19" s="15" t="n">
        <f aca="false">'Defect Log'!B8</f>
        <v>46268</v>
      </c>
      <c r="C19" s="8" t="str">
        <f aca="false">'Defect Log'!G8</f>
        <v>B104</v>
      </c>
      <c r="D19" s="8" t="n">
        <f aca="false">'Defect Log'!K8</f>
        <v>16.4</v>
      </c>
      <c r="E19" s="8" t="n">
        <f aca="false">$C$4</f>
        <v>12</v>
      </c>
    </row>
    <row r="20" customFormat="false" ht="15" hidden="false" customHeight="false" outlineLevel="0" collapsed="false">
      <c r="A20" s="8" t="n">
        <f aca="false">'Defect Log'!A9</f>
        <v>5</v>
      </c>
      <c r="B20" s="15" t="n">
        <f aca="false">'Defect Log'!B9</f>
        <v>46270</v>
      </c>
      <c r="C20" s="8" t="str">
        <f aca="false">'Defect Log'!G9</f>
        <v>B101</v>
      </c>
      <c r="D20" s="8" t="n">
        <f aca="false">'Defect Log'!K9</f>
        <v>20.8</v>
      </c>
      <c r="E20" s="8" t="n">
        <f aca="false">$C$4</f>
        <v>12</v>
      </c>
    </row>
    <row r="21" customFormat="false" ht="15" hidden="false" customHeight="false" outlineLevel="0" collapsed="false">
      <c r="A21" s="8" t="n">
        <f aca="false">'Defect Log'!A10</f>
        <v>6</v>
      </c>
      <c r="B21" s="15" t="n">
        <f aca="false">'Defect Log'!B10</f>
        <v>46253</v>
      </c>
      <c r="C21" s="8" t="str">
        <f aca="false">'Defect Log'!G10</f>
        <v>B104</v>
      </c>
      <c r="D21" s="8" t="n">
        <f aca="false">'Defect Log'!K10</f>
        <v>19.3</v>
      </c>
      <c r="E21" s="8" t="n">
        <f aca="false">$C$4</f>
        <v>12</v>
      </c>
    </row>
    <row r="22" customFormat="false" ht="15" hidden="false" customHeight="false" outlineLevel="0" collapsed="false">
      <c r="A22" s="8" t="n">
        <f aca="false">'Defect Log'!A11</f>
        <v>7</v>
      </c>
      <c r="B22" s="15" t="n">
        <f aca="false">'Defect Log'!B11</f>
        <v>46280</v>
      </c>
      <c r="C22" s="8" t="str">
        <f aca="false">'Defect Log'!G11</f>
        <v>B103</v>
      </c>
      <c r="D22" s="8" t="n">
        <f aca="false">'Defect Log'!K11</f>
        <v>10.6</v>
      </c>
      <c r="E22" s="8" t="n">
        <f aca="false">$C$4</f>
        <v>12</v>
      </c>
    </row>
    <row r="23" customFormat="false" ht="15" hidden="false" customHeight="false" outlineLevel="0" collapsed="false">
      <c r="A23" s="8" t="n">
        <f aca="false">'Defect Log'!A12</f>
        <v>8</v>
      </c>
      <c r="B23" s="15" t="n">
        <f aca="false">'Defect Log'!B12</f>
        <v>46283</v>
      </c>
      <c r="C23" s="8" t="str">
        <f aca="false">'Defect Log'!G12</f>
        <v>B103</v>
      </c>
      <c r="D23" s="8" t="n">
        <f aca="false">'Defect Log'!K12</f>
        <v>13</v>
      </c>
      <c r="E23" s="8" t="n">
        <f aca="false">$C$4</f>
        <v>12</v>
      </c>
    </row>
    <row r="24" customFormat="false" ht="15" hidden="false" customHeight="false" outlineLevel="0" collapsed="false">
      <c r="A24" s="8" t="n">
        <f aca="false">'Defect Log'!A13</f>
        <v>9</v>
      </c>
      <c r="B24" s="15" t="n">
        <f aca="false">'Defect Log'!B13</f>
        <v>46270</v>
      </c>
      <c r="C24" s="8" t="str">
        <f aca="false">'Defect Log'!G13</f>
        <v>B102</v>
      </c>
      <c r="D24" s="8" t="n">
        <f aca="false">'Defect Log'!K13</f>
        <v>16.5</v>
      </c>
      <c r="E24" s="8" t="n">
        <f aca="false">$C$4</f>
        <v>12</v>
      </c>
    </row>
    <row r="25" customFormat="false" ht="15" hidden="false" customHeight="false" outlineLevel="0" collapsed="false">
      <c r="A25" s="8" t="n">
        <f aca="false">'Defect Log'!A14</f>
        <v>10</v>
      </c>
      <c r="B25" s="15" t="n">
        <f aca="false">'Defect Log'!B14</f>
        <v>46248</v>
      </c>
      <c r="C25" s="8" t="str">
        <f aca="false">'Defect Log'!G14</f>
        <v>B101</v>
      </c>
      <c r="D25" s="8" t="n">
        <f aca="false">'Defect Log'!K14</f>
        <v>18.9</v>
      </c>
      <c r="E25" s="8" t="n">
        <f aca="false">$C$4</f>
        <v>12</v>
      </c>
    </row>
    <row r="26" customFormat="false" ht="15" hidden="false" customHeight="false" outlineLevel="0" collapsed="false">
      <c r="A26" s="8" t="n">
        <f aca="false">'Defect Log'!A15</f>
        <v>11</v>
      </c>
      <c r="B26" s="15" t="n">
        <f aca="false">'Defect Log'!B15</f>
        <v>46289</v>
      </c>
      <c r="C26" s="8" t="str">
        <f aca="false">'Defect Log'!G15</f>
        <v>B103</v>
      </c>
      <c r="D26" s="8" t="n">
        <f aca="false">'Defect Log'!K15</f>
        <v>11.8</v>
      </c>
      <c r="E26" s="8" t="n">
        <f aca="false">$C$4</f>
        <v>12</v>
      </c>
    </row>
    <row r="27" customFormat="false" ht="15" hidden="false" customHeight="false" outlineLevel="0" collapsed="false">
      <c r="A27" s="8" t="n">
        <f aca="false">'Defect Log'!A16</f>
        <v>12</v>
      </c>
      <c r="B27" s="15" t="n">
        <f aca="false">'Defect Log'!B16</f>
        <v>46239</v>
      </c>
      <c r="C27" s="8" t="str">
        <f aca="false">'Defect Log'!G16</f>
        <v>B103</v>
      </c>
      <c r="D27" s="8" t="n">
        <f aca="false">'Defect Log'!K16</f>
        <v>9.7</v>
      </c>
      <c r="E27" s="8" t="n">
        <f aca="false">$C$4</f>
        <v>12</v>
      </c>
    </row>
    <row r="28" customFormat="false" ht="15" hidden="false" customHeight="false" outlineLevel="0" collapsed="false">
      <c r="A28" s="8" t="n">
        <f aca="false">'Defect Log'!A17</f>
        <v>13</v>
      </c>
      <c r="B28" s="15" t="n">
        <f aca="false">'Defect Log'!B17</f>
        <v>46272</v>
      </c>
      <c r="C28" s="8" t="str">
        <f aca="false">'Defect Log'!G17</f>
        <v>B103</v>
      </c>
      <c r="D28" s="8" t="n">
        <f aca="false">'Defect Log'!K17</f>
        <v>14.6</v>
      </c>
      <c r="E28" s="8" t="n">
        <f aca="false">$C$4</f>
        <v>12</v>
      </c>
    </row>
    <row r="29" customFormat="false" ht="15" hidden="false" customHeight="false" outlineLevel="0" collapsed="false">
      <c r="A29" s="8" t="n">
        <f aca="false">'Defect Log'!A18</f>
        <v>14</v>
      </c>
      <c r="B29" s="15" t="n">
        <f aca="false">'Defect Log'!B18</f>
        <v>46245</v>
      </c>
      <c r="C29" s="8" t="str">
        <f aca="false">'Defect Log'!G18</f>
        <v>B101</v>
      </c>
      <c r="D29" s="8" t="n">
        <f aca="false">'Defect Log'!K18</f>
        <v>16.2</v>
      </c>
      <c r="E29" s="8" t="n">
        <f aca="false">$C$4</f>
        <v>12</v>
      </c>
    </row>
    <row r="30" customFormat="false" ht="15" hidden="false" customHeight="false" outlineLevel="0" collapsed="false">
      <c r="A30" s="8" t="n">
        <f aca="false">'Defect Log'!A19</f>
        <v>15</v>
      </c>
      <c r="B30" s="15" t="n">
        <f aca="false">'Defect Log'!B19</f>
        <v>46241</v>
      </c>
      <c r="C30" s="8" t="str">
        <f aca="false">'Defect Log'!G19</f>
        <v>B103</v>
      </c>
      <c r="D30" s="8" t="n">
        <f aca="false">'Defect Log'!K19</f>
        <v>10.1</v>
      </c>
      <c r="E30" s="8" t="n">
        <f aca="false">$C$4</f>
        <v>12</v>
      </c>
    </row>
    <row r="31" customFormat="false" ht="15" hidden="false" customHeight="false" outlineLevel="0" collapsed="false">
      <c r="A31" s="8" t="n">
        <f aca="false">'Defect Log'!A20</f>
        <v>16</v>
      </c>
      <c r="B31" s="15" t="n">
        <f aca="false">'Defect Log'!B20</f>
        <v>46239</v>
      </c>
      <c r="C31" s="8" t="str">
        <f aca="false">'Defect Log'!G20</f>
        <v>B104</v>
      </c>
      <c r="D31" s="8" t="n">
        <f aca="false">'Defect Log'!K20</f>
        <v>17.1</v>
      </c>
      <c r="E31" s="8" t="n">
        <f aca="false">$C$4</f>
        <v>12</v>
      </c>
    </row>
    <row r="32" customFormat="false" ht="15" hidden="false" customHeight="false" outlineLevel="0" collapsed="false">
      <c r="A32" s="8" t="n">
        <f aca="false">'Defect Log'!A21</f>
        <v>17</v>
      </c>
      <c r="B32" s="15" t="n">
        <f aca="false">'Defect Log'!B21</f>
        <v>46239</v>
      </c>
      <c r="C32" s="8" t="str">
        <f aca="false">'Defect Log'!G21</f>
        <v>B102</v>
      </c>
      <c r="D32" s="8" t="n">
        <f aca="false">'Defect Log'!K21</f>
        <v>16.4</v>
      </c>
      <c r="E32" s="8" t="n">
        <f aca="false">$C$4</f>
        <v>12</v>
      </c>
    </row>
    <row r="33" customFormat="false" ht="15" hidden="false" customHeight="false" outlineLevel="0" collapsed="false">
      <c r="A33" s="8" t="n">
        <f aca="false">'Defect Log'!A22</f>
        <v>18</v>
      </c>
      <c r="B33" s="15" t="n">
        <f aca="false">'Defect Log'!B22</f>
        <v>46243</v>
      </c>
      <c r="C33" s="8" t="str">
        <f aca="false">'Defect Log'!G22</f>
        <v>B101</v>
      </c>
      <c r="D33" s="8" t="n">
        <f aca="false">'Defect Log'!K22</f>
        <v>19.7</v>
      </c>
      <c r="E33" s="8" t="n">
        <f aca="false">$C$4</f>
        <v>12</v>
      </c>
    </row>
    <row r="34" customFormat="false" ht="15" hidden="false" customHeight="false" outlineLevel="0" collapsed="false">
      <c r="A34" s="8" t="n">
        <f aca="false">'Defect Log'!A23</f>
        <v>19</v>
      </c>
      <c r="B34" s="15" t="n">
        <f aca="false">'Defect Log'!B23</f>
        <v>46279</v>
      </c>
      <c r="C34" s="8" t="str">
        <f aca="false">'Defect Log'!G23</f>
        <v>B103</v>
      </c>
      <c r="D34" s="8" t="n">
        <f aca="false">'Defect Log'!K23</f>
        <v>8.3</v>
      </c>
      <c r="E34" s="8" t="n">
        <f aca="false">$C$4</f>
        <v>12</v>
      </c>
    </row>
    <row r="35" customFormat="false" ht="15" hidden="false" customHeight="false" outlineLevel="0" collapsed="false">
      <c r="A35" s="8" t="n">
        <f aca="false">'Defect Log'!A24</f>
        <v>20</v>
      </c>
      <c r="B35" s="15" t="n">
        <f aca="false">'Defect Log'!B24</f>
        <v>46258</v>
      </c>
      <c r="C35" s="8" t="str">
        <f aca="false">'Defect Log'!G24</f>
        <v>B103</v>
      </c>
      <c r="D35" s="8" t="n">
        <f aca="false">'Defect Log'!K24</f>
        <v>18.5</v>
      </c>
      <c r="E35" s="8" t="n">
        <f aca="false">$C$4</f>
        <v>12</v>
      </c>
    </row>
    <row r="36" customFormat="false" ht="15" hidden="false" customHeight="false" outlineLevel="0" collapsed="false">
      <c r="A36" s="8" t="n">
        <f aca="false">'Defect Log'!A25</f>
        <v>21</v>
      </c>
      <c r="B36" s="15" t="n">
        <f aca="false">'Defect Log'!B25</f>
        <v>46265</v>
      </c>
      <c r="C36" s="8" t="str">
        <f aca="false">'Defect Log'!G25</f>
        <v>B104</v>
      </c>
      <c r="D36" s="8" t="n">
        <f aca="false">'Defect Log'!K25</f>
        <v>17.8</v>
      </c>
      <c r="E36" s="8" t="n">
        <f aca="false">$C$4</f>
        <v>12</v>
      </c>
    </row>
    <row r="37" customFormat="false" ht="15" hidden="false" customHeight="false" outlineLevel="0" collapsed="false">
      <c r="A37" s="8" t="n">
        <f aca="false">'Defect Log'!A26</f>
        <v>22</v>
      </c>
      <c r="B37" s="15" t="n">
        <f aca="false">'Defect Log'!B26</f>
        <v>46275</v>
      </c>
      <c r="C37" s="8" t="str">
        <f aca="false">'Defect Log'!G26</f>
        <v>B103</v>
      </c>
      <c r="D37" s="8" t="n">
        <f aca="false">'Defect Log'!K26</f>
        <v>11.7</v>
      </c>
      <c r="E37" s="8" t="n">
        <f aca="false">$C$4</f>
        <v>12</v>
      </c>
    </row>
    <row r="38" customFormat="false" ht="15" hidden="false" customHeight="false" outlineLevel="0" collapsed="false">
      <c r="A38" s="8" t="n">
        <f aca="false">'Defect Log'!A27</f>
        <v>23</v>
      </c>
      <c r="B38" s="15" t="n">
        <f aca="false">'Defect Log'!B27</f>
        <v>46264</v>
      </c>
      <c r="C38" s="8" t="str">
        <f aca="false">'Defect Log'!G27</f>
        <v>B101</v>
      </c>
      <c r="D38" s="8" t="n">
        <f aca="false">'Defect Log'!K27</f>
        <v>22.5</v>
      </c>
      <c r="E38" s="8" t="n">
        <f aca="false">$C$4</f>
        <v>12</v>
      </c>
    </row>
    <row r="39" customFormat="false" ht="15" hidden="false" customHeight="false" outlineLevel="0" collapsed="false">
      <c r="A39" s="8" t="n">
        <f aca="false">'Defect Log'!A28</f>
        <v>24</v>
      </c>
      <c r="B39" s="15" t="n">
        <f aca="false">'Defect Log'!B28</f>
        <v>46274</v>
      </c>
      <c r="C39" s="8" t="str">
        <f aca="false">'Defect Log'!G28</f>
        <v>B102</v>
      </c>
      <c r="D39" s="8" t="n">
        <f aca="false">'Defect Log'!K28</f>
        <v>18.6</v>
      </c>
      <c r="E39" s="8" t="n">
        <f aca="false">$C$4</f>
        <v>12</v>
      </c>
    </row>
    <row r="40" customFormat="false" ht="15" hidden="false" customHeight="false" outlineLevel="0" collapsed="false">
      <c r="A40" s="8" t="n">
        <f aca="false">'Defect Log'!A29</f>
        <v>25</v>
      </c>
      <c r="B40" s="15" t="n">
        <f aca="false">'Defect Log'!B29</f>
        <v>46245</v>
      </c>
      <c r="C40" s="8" t="str">
        <f aca="false">'Defect Log'!G29</f>
        <v>B103</v>
      </c>
      <c r="D40" s="8" t="n">
        <f aca="false">'Defect Log'!K29</f>
        <v>12.2</v>
      </c>
      <c r="E40" s="8" t="n">
        <f aca="false">$C$4</f>
        <v>12</v>
      </c>
    </row>
    <row r="41" customFormat="false" ht="15" hidden="false" customHeight="false" outlineLevel="0" collapsed="false">
      <c r="A41" s="8" t="n">
        <f aca="false">'Defect Log'!A30</f>
        <v>26</v>
      </c>
      <c r="B41" s="15" t="n">
        <f aca="false">'Defect Log'!B30</f>
        <v>46259</v>
      </c>
      <c r="C41" s="8" t="str">
        <f aca="false">'Defect Log'!G30</f>
        <v>B103</v>
      </c>
      <c r="D41" s="8" t="n">
        <f aca="false">'Defect Log'!K30</f>
        <v>13.5</v>
      </c>
      <c r="E41" s="8" t="n">
        <f aca="false">$C$4</f>
        <v>12</v>
      </c>
    </row>
    <row r="42" customFormat="false" ht="15" hidden="false" customHeight="false" outlineLevel="0" collapsed="false">
      <c r="A42" s="8" t="n">
        <f aca="false">'Defect Log'!A31</f>
        <v>27</v>
      </c>
      <c r="B42" s="15" t="n">
        <f aca="false">'Defect Log'!B31</f>
        <v>46252</v>
      </c>
      <c r="C42" s="8" t="str">
        <f aca="false">'Defect Log'!G31</f>
        <v>B103</v>
      </c>
      <c r="D42" s="8" t="n">
        <f aca="false">'Defect Log'!K31</f>
        <v>9.1</v>
      </c>
      <c r="E42" s="8" t="n">
        <f aca="false">$C$4</f>
        <v>12</v>
      </c>
    </row>
    <row r="43" customFormat="false" ht="15" hidden="false" customHeight="false" outlineLevel="0" collapsed="false">
      <c r="A43" s="8" t="n">
        <f aca="false">'Defect Log'!A32</f>
        <v>28</v>
      </c>
      <c r="B43" s="15" t="n">
        <f aca="false">'Defect Log'!B32</f>
        <v>46280</v>
      </c>
      <c r="C43" s="8" t="str">
        <f aca="false">'Defect Log'!G32</f>
        <v>B103</v>
      </c>
      <c r="D43" s="8" t="n">
        <f aca="false">'Defect Log'!K32</f>
        <v>12.9</v>
      </c>
      <c r="E43" s="8" t="n">
        <f aca="false">$C$4</f>
        <v>12</v>
      </c>
    </row>
    <row r="44" customFormat="false" ht="15" hidden="false" customHeight="false" outlineLevel="0" collapsed="false">
      <c r="A44" s="8" t="n">
        <f aca="false">'Defect Log'!A33</f>
        <v>29</v>
      </c>
      <c r="B44" s="15" t="n">
        <f aca="false">'Defect Log'!B33</f>
        <v>46280</v>
      </c>
      <c r="C44" s="8" t="str">
        <f aca="false">'Defect Log'!G33</f>
        <v>B104</v>
      </c>
      <c r="D44" s="8" t="n">
        <f aca="false">'Defect Log'!K33</f>
        <v>17.6</v>
      </c>
      <c r="E44" s="8" t="n">
        <f aca="false">$C$4</f>
        <v>12</v>
      </c>
    </row>
    <row r="45" customFormat="false" ht="15" hidden="false" customHeight="false" outlineLevel="0" collapsed="false">
      <c r="A45" s="8" t="n">
        <f aca="false">'Defect Log'!A34</f>
        <v>30</v>
      </c>
      <c r="B45" s="15" t="n">
        <f aca="false">'Defect Log'!B34</f>
        <v>46244</v>
      </c>
      <c r="C45" s="8" t="str">
        <f aca="false">'Defect Log'!G34</f>
        <v>B103</v>
      </c>
      <c r="D45" s="8" t="n">
        <f aca="false">'Defect Log'!K34</f>
        <v>11.6</v>
      </c>
      <c r="E45" s="8" t="n">
        <f aca="false">$C$4</f>
        <v>12</v>
      </c>
    </row>
    <row r="46" customFormat="false" ht="15" hidden="false" customHeight="false" outlineLevel="0" collapsed="false">
      <c r="A46" s="8" t="n">
        <f aca="false">'Defect Log'!A35</f>
        <v>31</v>
      </c>
      <c r="B46" s="15" t="n">
        <f aca="false">'Defect Log'!B35</f>
        <v>46247</v>
      </c>
      <c r="C46" s="8" t="str">
        <f aca="false">'Defect Log'!G35</f>
        <v>B101</v>
      </c>
      <c r="D46" s="8" t="n">
        <f aca="false">'Defect Log'!K35</f>
        <v>18.6</v>
      </c>
      <c r="E46" s="8" t="n">
        <f aca="false">$C$4</f>
        <v>12</v>
      </c>
    </row>
    <row r="47" customFormat="false" ht="15" hidden="false" customHeight="false" outlineLevel="0" collapsed="false">
      <c r="A47" s="8" t="n">
        <f aca="false">'Defect Log'!A36</f>
        <v>32</v>
      </c>
      <c r="B47" s="15" t="n">
        <f aca="false">'Defect Log'!B36</f>
        <v>46268</v>
      </c>
      <c r="C47" s="8" t="str">
        <f aca="false">'Defect Log'!G36</f>
        <v>B104</v>
      </c>
      <c r="D47" s="8" t="n">
        <f aca="false">'Defect Log'!K36</f>
        <v>19.3</v>
      </c>
      <c r="E47" s="8" t="n">
        <f aca="false">$C$4</f>
        <v>12</v>
      </c>
    </row>
    <row r="48" customFormat="false" ht="15" hidden="false" customHeight="false" outlineLevel="0" collapsed="false">
      <c r="A48" s="8" t="n">
        <f aca="false">'Defect Log'!A37</f>
        <v>33</v>
      </c>
      <c r="B48" s="15" t="n">
        <f aca="false">'Defect Log'!B37</f>
        <v>46263</v>
      </c>
      <c r="C48" s="8" t="str">
        <f aca="false">'Defect Log'!G37</f>
        <v>B103</v>
      </c>
      <c r="D48" s="8" t="n">
        <f aca="false">'Defect Log'!K37</f>
        <v>14.1</v>
      </c>
      <c r="E48" s="8" t="n">
        <f aca="false">$C$4</f>
        <v>12</v>
      </c>
    </row>
    <row r="49" customFormat="false" ht="15" hidden="false" customHeight="false" outlineLevel="0" collapsed="false">
      <c r="A49" s="8" t="n">
        <f aca="false">'Defect Log'!A38</f>
        <v>34</v>
      </c>
      <c r="B49" s="15" t="n">
        <f aca="false">'Defect Log'!B38</f>
        <v>46276</v>
      </c>
      <c r="C49" s="8" t="str">
        <f aca="false">'Defect Log'!G38</f>
        <v>B103</v>
      </c>
      <c r="D49" s="8" t="n">
        <f aca="false">'Defect Log'!K38</f>
        <v>9</v>
      </c>
      <c r="E49" s="8" t="n">
        <f aca="false">$C$4</f>
        <v>12</v>
      </c>
    </row>
    <row r="50" customFormat="false" ht="15" hidden="false" customHeight="false" outlineLevel="0" collapsed="false">
      <c r="A50" s="8" t="n">
        <f aca="false">'Defect Log'!A39</f>
        <v>35</v>
      </c>
      <c r="B50" s="15" t="n">
        <f aca="false">'Defect Log'!B39</f>
        <v>46269</v>
      </c>
      <c r="C50" s="8" t="str">
        <f aca="false">'Defect Log'!G39</f>
        <v>B101</v>
      </c>
      <c r="D50" s="8" t="n">
        <f aca="false">'Defect Log'!K39</f>
        <v>15.9</v>
      </c>
      <c r="E50" s="8" t="n">
        <f aca="false">$C$4</f>
        <v>12</v>
      </c>
    </row>
    <row r="51" customFormat="false" ht="15" hidden="false" customHeight="false" outlineLevel="0" collapsed="false">
      <c r="A51" s="8" t="n">
        <f aca="false">'Defect Log'!A40</f>
        <v>36</v>
      </c>
      <c r="B51" s="15" t="n">
        <f aca="false">'Defect Log'!B40</f>
        <v>46236</v>
      </c>
      <c r="C51" s="8" t="str">
        <f aca="false">'Defect Log'!G40</f>
        <v>B103</v>
      </c>
      <c r="D51" s="8" t="n">
        <f aca="false">'Defect Log'!K40</f>
        <v>12.4</v>
      </c>
      <c r="E51" s="8" t="n">
        <f aca="false">$C$4</f>
        <v>12</v>
      </c>
    </row>
    <row r="52" customFormat="false" ht="15" hidden="false" customHeight="false" outlineLevel="0" collapsed="false">
      <c r="A52" s="8" t="n">
        <f aca="false">'Defect Log'!A41</f>
        <v>37</v>
      </c>
      <c r="B52" s="15" t="n">
        <f aca="false">'Defect Log'!B41</f>
        <v>46268</v>
      </c>
      <c r="C52" s="8" t="str">
        <f aca="false">'Defect Log'!G41</f>
        <v>B104</v>
      </c>
      <c r="D52" s="8" t="n">
        <f aca="false">'Defect Log'!K41</f>
        <v>16.5</v>
      </c>
      <c r="E52" s="8" t="n">
        <f aca="false">$C$4</f>
        <v>12</v>
      </c>
    </row>
    <row r="53" customFormat="false" ht="15" hidden="false" customHeight="false" outlineLevel="0" collapsed="false">
      <c r="A53" s="8" t="n">
        <f aca="false">'Defect Log'!A42</f>
        <v>38</v>
      </c>
      <c r="B53" s="15" t="n">
        <f aca="false">'Defect Log'!B42</f>
        <v>46268</v>
      </c>
      <c r="C53" s="8" t="str">
        <f aca="false">'Defect Log'!G42</f>
        <v>B102</v>
      </c>
      <c r="D53" s="8" t="n">
        <f aca="false">'Defect Log'!K42</f>
        <v>17.8</v>
      </c>
      <c r="E53" s="8" t="n">
        <f aca="false">$C$4</f>
        <v>12</v>
      </c>
    </row>
    <row r="54" customFormat="false" ht="15" hidden="false" customHeight="false" outlineLevel="0" collapsed="false">
      <c r="A54" s="8" t="n">
        <f aca="false">'Defect Log'!A43</f>
        <v>39</v>
      </c>
      <c r="B54" s="15" t="n">
        <f aca="false">'Defect Log'!B43</f>
        <v>46269</v>
      </c>
      <c r="C54" s="8" t="str">
        <f aca="false">'Defect Log'!G43</f>
        <v>B103</v>
      </c>
      <c r="D54" s="8" t="n">
        <f aca="false">'Defect Log'!K43</f>
        <v>8.8</v>
      </c>
      <c r="E54" s="8" t="n">
        <f aca="false">$C$4</f>
        <v>12</v>
      </c>
    </row>
    <row r="55" customFormat="false" ht="15" hidden="false" customHeight="false" outlineLevel="0" collapsed="false">
      <c r="A55" s="8" t="n">
        <f aca="false">'Defect Log'!A44</f>
        <v>40</v>
      </c>
      <c r="B55" s="15" t="n">
        <f aca="false">'Defect Log'!B44</f>
        <v>46237</v>
      </c>
      <c r="C55" s="8" t="str">
        <f aca="false">'Defect Log'!G44</f>
        <v>B102</v>
      </c>
      <c r="D55" s="8" t="n">
        <f aca="false">'Defect Log'!K44</f>
        <v>18</v>
      </c>
      <c r="E55" s="8" t="n">
        <f aca="false">$C$4</f>
        <v>12</v>
      </c>
    </row>
    <row r="56" customFormat="false" ht="15" hidden="false" customHeight="false" outlineLevel="0" collapsed="false">
      <c r="A56" s="8" t="n">
        <f aca="false">'Defect Log'!A45</f>
        <v>41</v>
      </c>
      <c r="B56" s="15" t="n">
        <f aca="false">'Defect Log'!B45</f>
        <v>46264</v>
      </c>
      <c r="C56" s="8" t="str">
        <f aca="false">'Defect Log'!G45</f>
        <v>B102</v>
      </c>
      <c r="D56" s="8" t="n">
        <f aca="false">'Defect Log'!K45</f>
        <v>15.9</v>
      </c>
      <c r="E56" s="8" t="n">
        <f aca="false">$C$4</f>
        <v>12</v>
      </c>
    </row>
    <row r="57" customFormat="false" ht="15" hidden="false" customHeight="false" outlineLevel="0" collapsed="false">
      <c r="A57" s="8" t="n">
        <f aca="false">'Defect Log'!A46</f>
        <v>42</v>
      </c>
      <c r="B57" s="15" t="n">
        <f aca="false">'Defect Log'!B46</f>
        <v>46241</v>
      </c>
      <c r="C57" s="8" t="str">
        <f aca="false">'Defect Log'!G46</f>
        <v>B102</v>
      </c>
      <c r="D57" s="8" t="n">
        <f aca="false">'Defect Log'!K46</f>
        <v>21.3</v>
      </c>
      <c r="E57" s="8" t="n">
        <f aca="false">$C$4</f>
        <v>12</v>
      </c>
    </row>
    <row r="58" customFormat="false" ht="15" hidden="false" customHeight="false" outlineLevel="0" collapsed="false">
      <c r="A58" s="8" t="n">
        <f aca="false">'Defect Log'!A47</f>
        <v>43</v>
      </c>
      <c r="B58" s="15" t="n">
        <f aca="false">'Defect Log'!B47</f>
        <v>46244</v>
      </c>
      <c r="C58" s="8" t="str">
        <f aca="false">'Defect Log'!G47</f>
        <v>B103</v>
      </c>
      <c r="D58" s="8" t="n">
        <f aca="false">'Defect Log'!K47</f>
        <v>10.8</v>
      </c>
      <c r="E58" s="8" t="n">
        <f aca="false">$C$4</f>
        <v>12</v>
      </c>
    </row>
    <row r="59" customFormat="false" ht="15" hidden="false" customHeight="false" outlineLevel="0" collapsed="false">
      <c r="A59" s="8" t="n">
        <f aca="false">'Defect Log'!A48</f>
        <v>44</v>
      </c>
      <c r="B59" s="15" t="n">
        <f aca="false">'Defect Log'!B48</f>
        <v>46289</v>
      </c>
      <c r="C59" s="8" t="str">
        <f aca="false">'Defect Log'!G48</f>
        <v>B104</v>
      </c>
      <c r="D59" s="8" t="n">
        <f aca="false">'Defect Log'!K48</f>
        <v>17.4</v>
      </c>
      <c r="E59" s="8" t="n">
        <f aca="false">$C$4</f>
        <v>12</v>
      </c>
    </row>
    <row r="60" customFormat="false" ht="15" hidden="false" customHeight="false" outlineLevel="0" collapsed="false">
      <c r="A60" s="8" t="n">
        <f aca="false">'Defect Log'!A49</f>
        <v>45</v>
      </c>
      <c r="B60" s="15" t="n">
        <f aca="false">'Defect Log'!B49</f>
        <v>46261</v>
      </c>
      <c r="C60" s="8" t="str">
        <f aca="false">'Defect Log'!G49</f>
        <v>B102</v>
      </c>
      <c r="D60" s="8" t="n">
        <f aca="false">'Defect Log'!K49</f>
        <v>14.5</v>
      </c>
      <c r="E60" s="8" t="n">
        <f aca="false">$C$4</f>
        <v>12</v>
      </c>
    </row>
    <row r="61" customFormat="false" ht="15" hidden="false" customHeight="false" outlineLevel="0" collapsed="false">
      <c r="A61" s="8" t="n">
        <f aca="false">'Defect Log'!A50</f>
        <v>46</v>
      </c>
      <c r="B61" s="15" t="n">
        <f aca="false">'Defect Log'!B50</f>
        <v>46243</v>
      </c>
      <c r="C61" s="8" t="str">
        <f aca="false">'Defect Log'!G50</f>
        <v>B102</v>
      </c>
      <c r="D61" s="8" t="n">
        <f aca="false">'Defect Log'!K50</f>
        <v>17.3</v>
      </c>
      <c r="E61" s="8" t="n">
        <f aca="false">$C$4</f>
        <v>12</v>
      </c>
    </row>
    <row r="62" customFormat="false" ht="15" hidden="false" customHeight="false" outlineLevel="0" collapsed="false">
      <c r="A62" s="8" t="n">
        <f aca="false">'Defect Log'!A51</f>
        <v>47</v>
      </c>
      <c r="B62" s="15" t="n">
        <f aca="false">'Defect Log'!B51</f>
        <v>46247</v>
      </c>
      <c r="C62" s="8" t="str">
        <f aca="false">'Defect Log'!G51</f>
        <v>B103</v>
      </c>
      <c r="D62" s="8" t="n">
        <f aca="false">'Defect Log'!K51</f>
        <v>9.9</v>
      </c>
      <c r="E62" s="8" t="n">
        <f aca="false">$C$4</f>
        <v>12</v>
      </c>
    </row>
    <row r="63" customFormat="false" ht="15" hidden="false" customHeight="false" outlineLevel="0" collapsed="false">
      <c r="A63" s="8" t="n">
        <f aca="false">'Defect Log'!A52</f>
        <v>48</v>
      </c>
      <c r="B63" s="15" t="n">
        <f aca="false">'Defect Log'!B52</f>
        <v>46280</v>
      </c>
      <c r="C63" s="8" t="str">
        <f aca="false">'Defect Log'!G52</f>
        <v>B103</v>
      </c>
      <c r="D63" s="8" t="n">
        <f aca="false">'Defect Log'!K52</f>
        <v>12.9</v>
      </c>
      <c r="E63" s="8" t="n">
        <f aca="false">$C$4</f>
        <v>12</v>
      </c>
    </row>
    <row r="64" customFormat="false" ht="15" hidden="false" customHeight="false" outlineLevel="0" collapsed="false">
      <c r="A64" s="8" t="n">
        <f aca="false">'Defect Log'!A53</f>
        <v>49</v>
      </c>
      <c r="B64" s="15" t="n">
        <f aca="false">'Defect Log'!B53</f>
        <v>46258</v>
      </c>
      <c r="C64" s="8" t="str">
        <f aca="false">'Defect Log'!G53</f>
        <v>B104</v>
      </c>
      <c r="D64" s="8" t="n">
        <f aca="false">'Defect Log'!K53</f>
        <v>18.4</v>
      </c>
      <c r="E64" s="8" t="n">
        <f aca="false">$C$4</f>
        <v>12</v>
      </c>
    </row>
    <row r="65" customFormat="false" ht="15" hidden="false" customHeight="false" outlineLevel="0" collapsed="false">
      <c r="A65" s="8" t="n">
        <f aca="false">'Defect Log'!A54</f>
        <v>50</v>
      </c>
      <c r="B65" s="15" t="n">
        <f aca="false">'Defect Log'!B54</f>
        <v>46292</v>
      </c>
      <c r="C65" s="8" t="str">
        <f aca="false">'Defect Log'!G54</f>
        <v>B103</v>
      </c>
      <c r="D65" s="8" t="n">
        <f aca="false">'Defect Log'!K54</f>
        <v>11.8</v>
      </c>
      <c r="E65" s="8" t="n">
        <f aca="false">$C$4</f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10" t="s">
        <v>55</v>
      </c>
    </row>
    <row r="5" customFormat="false" ht="31.5" hidden="false" customHeight="true" outlineLevel="0" collapsed="false">
      <c r="A5" s="3" t="s">
        <v>8</v>
      </c>
      <c r="B5" s="3" t="s">
        <v>56</v>
      </c>
      <c r="C5" s="3" t="s">
        <v>57</v>
      </c>
      <c r="D5" s="3" t="s">
        <v>58</v>
      </c>
    </row>
    <row r="6" customFormat="false" ht="15" hidden="false" customHeight="false" outlineLevel="0" collapsed="false">
      <c r="A6" s="4" t="s">
        <v>26</v>
      </c>
      <c r="B6" s="8" t="n">
        <f aca="false">COUNTIF('Defect Log'!$G$5:$G$54,A6)</f>
        <v>8</v>
      </c>
      <c r="C6" s="8" t="n">
        <f aca="false">COUNTIFS('Defect Log'!$G$5:$G$54,A6,'Defect Log'!$H$5:$H$54,"Adhesion Failure")</f>
        <v>2</v>
      </c>
      <c r="D6" s="9" t="n">
        <f aca="false">IF(B6=0,0,C6/B6)</f>
        <v>0.25</v>
      </c>
    </row>
    <row r="7" customFormat="false" ht="15" hidden="false" customHeight="false" outlineLevel="0" collapsed="false">
      <c r="A7" s="4" t="s">
        <v>23</v>
      </c>
      <c r="B7" s="8" t="n">
        <f aca="false">COUNTIF('Defect Log'!$G$5:$G$54,A7)</f>
        <v>10</v>
      </c>
      <c r="C7" s="8" t="n">
        <f aca="false">COUNTIFS('Defect Log'!$G$5:$G$54,A7,'Defect Log'!$H$5:$H$54,"Adhesion Failure")</f>
        <v>2</v>
      </c>
      <c r="D7" s="9" t="n">
        <f aca="false">IF(B7=0,0,C7/B7)</f>
        <v>0.2</v>
      </c>
    </row>
    <row r="8" customFormat="false" ht="15" hidden="false" customHeight="false" outlineLevel="0" collapsed="false">
      <c r="A8" s="4" t="s">
        <v>17</v>
      </c>
      <c r="B8" s="8" t="n">
        <f aca="false">COUNTIF('Defect Log'!$G$5:$G$54,A8)</f>
        <v>23</v>
      </c>
      <c r="C8" s="8" t="n">
        <f aca="false">COUNTIFS('Defect Log'!$G$5:$G$54,A8,'Defect Log'!$H$5:$H$54,"Adhesion Failure")</f>
        <v>16</v>
      </c>
      <c r="D8" s="9" t="n">
        <f aca="false">IF(B8=0,0,C8/B8)</f>
        <v>0.695652173913044</v>
      </c>
    </row>
    <row r="9" customFormat="false" ht="15" hidden="false" customHeight="false" outlineLevel="0" collapsed="false">
      <c r="A9" s="4" t="s">
        <v>29</v>
      </c>
      <c r="B9" s="8" t="n">
        <f aca="false">COUNTIF('Defect Log'!$G$5:$G$54,A9)</f>
        <v>9</v>
      </c>
      <c r="C9" s="8" t="n">
        <f aca="false">COUNTIFS('Defect Log'!$G$5:$G$54,A9,'Defect Log'!$H$5:$H$54,"Adhesion Failure")</f>
        <v>3</v>
      </c>
      <c r="D9" s="9" t="n">
        <f aca="false">IF(B9=0,0,C9/B9)</f>
        <v>0.333333333333333</v>
      </c>
    </row>
    <row r="12" customFormat="false" ht="15" hidden="false" customHeight="false" outlineLevel="0" collapsed="false">
      <c r="A12" s="10" t="s">
        <v>59</v>
      </c>
    </row>
    <row r="13" customFormat="false" ht="31.5" hidden="false" customHeight="true" outlineLevel="0" collapsed="false">
      <c r="A13" s="3" t="s">
        <v>6</v>
      </c>
      <c r="B13" s="3" t="s">
        <v>56</v>
      </c>
      <c r="C13" s="3" t="s">
        <v>57</v>
      </c>
      <c r="D13" s="3" t="s">
        <v>58</v>
      </c>
    </row>
    <row r="14" customFormat="false" ht="15" hidden="false" customHeight="false" outlineLevel="0" collapsed="false">
      <c r="A14" s="4" t="s">
        <v>25</v>
      </c>
      <c r="B14" s="8" t="n">
        <f aca="false">COUNTIF('Defect Log'!$E$5:$E$54,A14)</f>
        <v>13</v>
      </c>
      <c r="C14" s="8" t="n">
        <f aca="false">COUNTIFS('Defect Log'!$E$5:$E$54,A14,'Defect Log'!$H$5:$H$54,"Adhesion Failure")</f>
        <v>6</v>
      </c>
      <c r="D14" s="9" t="n">
        <f aca="false">IF(B14=0,0,C14/B14)</f>
        <v>0.461538461538462</v>
      </c>
    </row>
    <row r="15" customFormat="false" ht="15" hidden="false" customHeight="false" outlineLevel="0" collapsed="false">
      <c r="A15" s="4" t="s">
        <v>15</v>
      </c>
      <c r="B15" s="8" t="n">
        <f aca="false">COUNTIF('Defect Log'!$E$5:$E$54,A15)</f>
        <v>19</v>
      </c>
      <c r="C15" s="8" t="n">
        <f aca="false">COUNTIFS('Defect Log'!$E$5:$E$54,A15,'Defect Log'!$H$5:$H$54,"Adhesion Failure")</f>
        <v>10</v>
      </c>
      <c r="D15" s="9" t="n">
        <f aca="false">IF(B15=0,0,C15/B15)</f>
        <v>0.526315789473684</v>
      </c>
    </row>
    <row r="16" customFormat="false" ht="15" hidden="false" customHeight="false" outlineLevel="0" collapsed="false">
      <c r="A16" s="4" t="s">
        <v>21</v>
      </c>
      <c r="B16" s="8" t="n">
        <f aca="false">COUNTIF('Defect Log'!$E$5:$E$54,A16)</f>
        <v>18</v>
      </c>
      <c r="C16" s="8" t="n">
        <f aca="false">COUNTIFS('Defect Log'!$E$5:$E$54,A16,'Defect Log'!$H$5:$H$54,"Adhesion Failure")</f>
        <v>7</v>
      </c>
      <c r="D16" s="9" t="n">
        <f aca="false">IF(B16=0,0,C16/B16)</f>
        <v>0.388888888888889</v>
      </c>
    </row>
    <row r="18" customFormat="false" ht="15" hidden="false" customHeight="false" outlineLevel="0" collapsed="false">
      <c r="A18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10" t="s">
        <v>63</v>
      </c>
      <c r="C4" s="11" t="n">
        <v>14</v>
      </c>
    </row>
    <row r="5" customFormat="false" ht="15" hidden="false" customHeight="false" outlineLevel="0" collapsed="false">
      <c r="A5" s="2" t="s">
        <v>64</v>
      </c>
    </row>
    <row r="7" customFormat="false" ht="31.5" hidden="false" customHeight="true" outlineLevel="0" collapsed="false">
      <c r="A7" s="3" t="s">
        <v>2</v>
      </c>
      <c r="B7" s="3" t="s">
        <v>3</v>
      </c>
      <c r="C7" s="3" t="s">
        <v>4</v>
      </c>
      <c r="D7" s="3" t="s">
        <v>8</v>
      </c>
      <c r="E7" s="3" t="s">
        <v>51</v>
      </c>
      <c r="F7" s="3" t="s">
        <v>65</v>
      </c>
    </row>
    <row r="8" customFormat="false" ht="15" hidden="false" customHeight="false" outlineLevel="0" collapsed="false">
      <c r="A8" s="8" t="n">
        <f aca="false">'Defect Log'!A5</f>
        <v>1</v>
      </c>
      <c r="B8" s="15" t="n">
        <f aca="false">'Defect Log'!B5</f>
        <v>46263</v>
      </c>
      <c r="C8" s="8" t="str">
        <f aca="false">'Defect Log'!C5</f>
        <v>SKU-C</v>
      </c>
      <c r="D8" s="8" t="str">
        <f aca="false">'Defect Log'!G5</f>
        <v>B103</v>
      </c>
      <c r="E8" s="8" t="n">
        <f aca="false">'Defect Log'!K5</f>
        <v>9.1</v>
      </c>
      <c r="F8" s="8" t="str">
        <f aca="false">IF(E8&lt;$C$4,"AT RISK - Hold for QC","OK")</f>
        <v>AT RISK - Hold for QC</v>
      </c>
    </row>
    <row r="9" customFormat="false" ht="15" hidden="false" customHeight="false" outlineLevel="0" collapsed="false">
      <c r="A9" s="8" t="n">
        <f aca="false">'Defect Log'!A6</f>
        <v>2</v>
      </c>
      <c r="B9" s="15" t="n">
        <f aca="false">'Defect Log'!B6</f>
        <v>46244</v>
      </c>
      <c r="C9" s="8" t="str">
        <f aca="false">'Defect Log'!C6</f>
        <v>SKU-A</v>
      </c>
      <c r="D9" s="8" t="str">
        <f aca="false">'Defect Log'!G6</f>
        <v>B102</v>
      </c>
      <c r="E9" s="8" t="n">
        <f aca="false">'Defect Log'!K6</f>
        <v>15.7</v>
      </c>
      <c r="F9" s="8" t="str">
        <f aca="false">IF(E9&lt;$C$4,"AT RISK - Hold for QC","OK")</f>
        <v>OK</v>
      </c>
    </row>
    <row r="10" customFormat="false" ht="15" hidden="false" customHeight="false" outlineLevel="0" collapsed="false">
      <c r="A10" s="8" t="n">
        <f aca="false">'Defect Log'!A7</f>
        <v>3</v>
      </c>
      <c r="B10" s="15" t="n">
        <f aca="false">'Defect Log'!B7</f>
        <v>46268</v>
      </c>
      <c r="C10" s="8" t="str">
        <f aca="false">'Defect Log'!C7</f>
        <v>SKU-A</v>
      </c>
      <c r="D10" s="8" t="str">
        <f aca="false">'Defect Log'!G7</f>
        <v>B101</v>
      </c>
      <c r="E10" s="8" t="n">
        <f aca="false">'Defect Log'!K7</f>
        <v>18.3</v>
      </c>
      <c r="F10" s="8" t="str">
        <f aca="false">IF(E10&lt;$C$4,"AT RISK - Hold for QC","OK")</f>
        <v>OK</v>
      </c>
    </row>
    <row r="11" customFormat="false" ht="15" hidden="false" customHeight="false" outlineLevel="0" collapsed="false">
      <c r="A11" s="8" t="n">
        <f aca="false">'Defect Log'!A8</f>
        <v>4</v>
      </c>
      <c r="B11" s="15" t="n">
        <f aca="false">'Defect Log'!B8</f>
        <v>46268</v>
      </c>
      <c r="C11" s="8" t="str">
        <f aca="false">'Defect Log'!C8</f>
        <v>SKU-A</v>
      </c>
      <c r="D11" s="8" t="str">
        <f aca="false">'Defect Log'!G8</f>
        <v>B104</v>
      </c>
      <c r="E11" s="8" t="n">
        <f aca="false">'Defect Log'!K8</f>
        <v>16.4</v>
      </c>
      <c r="F11" s="8" t="str">
        <f aca="false">IF(E11&lt;$C$4,"AT RISK - Hold for QC","OK")</f>
        <v>OK</v>
      </c>
    </row>
    <row r="12" customFormat="false" ht="15" hidden="false" customHeight="false" outlineLevel="0" collapsed="false">
      <c r="A12" s="8" t="n">
        <f aca="false">'Defect Log'!A9</f>
        <v>5</v>
      </c>
      <c r="B12" s="15" t="n">
        <f aca="false">'Defect Log'!B9</f>
        <v>46270</v>
      </c>
      <c r="C12" s="8" t="str">
        <f aca="false">'Defect Log'!C9</f>
        <v>SKU-A</v>
      </c>
      <c r="D12" s="8" t="str">
        <f aca="false">'Defect Log'!G9</f>
        <v>B101</v>
      </c>
      <c r="E12" s="8" t="n">
        <f aca="false">'Defect Log'!K9</f>
        <v>20.8</v>
      </c>
      <c r="F12" s="8" t="str">
        <f aca="false">IF(E12&lt;$C$4,"AT RISK - Hold for QC","OK")</f>
        <v>OK</v>
      </c>
    </row>
    <row r="13" customFormat="false" ht="15" hidden="false" customHeight="false" outlineLevel="0" collapsed="false">
      <c r="A13" s="8" t="n">
        <f aca="false">'Defect Log'!A10</f>
        <v>6</v>
      </c>
      <c r="B13" s="15" t="n">
        <f aca="false">'Defect Log'!B10</f>
        <v>46253</v>
      </c>
      <c r="C13" s="8" t="str">
        <f aca="false">'Defect Log'!C10</f>
        <v>SKU-B</v>
      </c>
      <c r="D13" s="8" t="str">
        <f aca="false">'Defect Log'!G10</f>
        <v>B104</v>
      </c>
      <c r="E13" s="8" t="n">
        <f aca="false">'Defect Log'!K10</f>
        <v>19.3</v>
      </c>
      <c r="F13" s="8" t="str">
        <f aca="false">IF(E13&lt;$C$4,"AT RISK - Hold for QC","OK")</f>
        <v>OK</v>
      </c>
    </row>
    <row r="14" customFormat="false" ht="15" hidden="false" customHeight="false" outlineLevel="0" collapsed="false">
      <c r="A14" s="8" t="n">
        <f aca="false">'Defect Log'!A11</f>
        <v>7</v>
      </c>
      <c r="B14" s="15" t="n">
        <f aca="false">'Defect Log'!B11</f>
        <v>46280</v>
      </c>
      <c r="C14" s="8" t="str">
        <f aca="false">'Defect Log'!C11</f>
        <v>SKU-B</v>
      </c>
      <c r="D14" s="8" t="str">
        <f aca="false">'Defect Log'!G11</f>
        <v>B103</v>
      </c>
      <c r="E14" s="8" t="n">
        <f aca="false">'Defect Log'!K11</f>
        <v>10.6</v>
      </c>
      <c r="F14" s="8" t="str">
        <f aca="false">IF(E14&lt;$C$4,"AT RISK - Hold for QC","OK")</f>
        <v>AT RISK - Hold for QC</v>
      </c>
    </row>
    <row r="15" customFormat="false" ht="15" hidden="false" customHeight="false" outlineLevel="0" collapsed="false">
      <c r="A15" s="8" t="n">
        <f aca="false">'Defect Log'!A12</f>
        <v>8</v>
      </c>
      <c r="B15" s="15" t="n">
        <f aca="false">'Defect Log'!B12</f>
        <v>46283</v>
      </c>
      <c r="C15" s="8" t="str">
        <f aca="false">'Defect Log'!C12</f>
        <v>SKU-A</v>
      </c>
      <c r="D15" s="8" t="str">
        <f aca="false">'Defect Log'!G12</f>
        <v>B103</v>
      </c>
      <c r="E15" s="8" t="n">
        <f aca="false">'Defect Log'!K12</f>
        <v>13</v>
      </c>
      <c r="F15" s="8" t="str">
        <f aca="false">IF(E15&lt;$C$4,"AT RISK - Hold for QC","OK")</f>
        <v>AT RISK - Hold for QC</v>
      </c>
    </row>
    <row r="16" customFormat="false" ht="15" hidden="false" customHeight="false" outlineLevel="0" collapsed="false">
      <c r="A16" s="8" t="n">
        <f aca="false">'Defect Log'!A13</f>
        <v>9</v>
      </c>
      <c r="B16" s="15" t="n">
        <f aca="false">'Defect Log'!B13</f>
        <v>46270</v>
      </c>
      <c r="C16" s="8" t="str">
        <f aca="false">'Defect Log'!C13</f>
        <v>SKU-A</v>
      </c>
      <c r="D16" s="8" t="str">
        <f aca="false">'Defect Log'!G13</f>
        <v>B102</v>
      </c>
      <c r="E16" s="8" t="n">
        <f aca="false">'Defect Log'!K13</f>
        <v>16.5</v>
      </c>
      <c r="F16" s="8" t="str">
        <f aca="false">IF(E16&lt;$C$4,"AT RISK - Hold for QC","OK")</f>
        <v>OK</v>
      </c>
    </row>
    <row r="17" customFormat="false" ht="15" hidden="false" customHeight="false" outlineLevel="0" collapsed="false">
      <c r="A17" s="8" t="n">
        <f aca="false">'Defect Log'!A14</f>
        <v>10</v>
      </c>
      <c r="B17" s="15" t="n">
        <f aca="false">'Defect Log'!B14</f>
        <v>46248</v>
      </c>
      <c r="C17" s="8" t="str">
        <f aca="false">'Defect Log'!C14</f>
        <v>SKU-A</v>
      </c>
      <c r="D17" s="8" t="str">
        <f aca="false">'Defect Log'!G14</f>
        <v>B101</v>
      </c>
      <c r="E17" s="8" t="n">
        <f aca="false">'Defect Log'!K14</f>
        <v>18.9</v>
      </c>
      <c r="F17" s="8" t="str">
        <f aca="false">IF(E17&lt;$C$4,"AT RISK - Hold for QC","OK")</f>
        <v>OK</v>
      </c>
    </row>
    <row r="18" customFormat="false" ht="15" hidden="false" customHeight="false" outlineLevel="0" collapsed="false">
      <c r="A18" s="8" t="n">
        <f aca="false">'Defect Log'!A15</f>
        <v>11</v>
      </c>
      <c r="B18" s="15" t="n">
        <f aca="false">'Defect Log'!B15</f>
        <v>46289</v>
      </c>
      <c r="C18" s="8" t="str">
        <f aca="false">'Defect Log'!C15</f>
        <v>SKU-C</v>
      </c>
      <c r="D18" s="8" t="str">
        <f aca="false">'Defect Log'!G15</f>
        <v>B103</v>
      </c>
      <c r="E18" s="8" t="n">
        <f aca="false">'Defect Log'!K15</f>
        <v>11.8</v>
      </c>
      <c r="F18" s="8" t="str">
        <f aca="false">IF(E18&lt;$C$4,"AT RISK - Hold for QC","OK")</f>
        <v>AT RISK - Hold for QC</v>
      </c>
    </row>
    <row r="19" customFormat="false" ht="15" hidden="false" customHeight="false" outlineLevel="0" collapsed="false">
      <c r="A19" s="8" t="n">
        <f aca="false">'Defect Log'!A16</f>
        <v>12</v>
      </c>
      <c r="B19" s="15" t="n">
        <f aca="false">'Defect Log'!B16</f>
        <v>46239</v>
      </c>
      <c r="C19" s="8" t="str">
        <f aca="false">'Defect Log'!C16</f>
        <v>SKU-A</v>
      </c>
      <c r="D19" s="8" t="str">
        <f aca="false">'Defect Log'!G16</f>
        <v>B103</v>
      </c>
      <c r="E19" s="8" t="n">
        <f aca="false">'Defect Log'!K16</f>
        <v>9.7</v>
      </c>
      <c r="F19" s="8" t="str">
        <f aca="false">IF(E19&lt;$C$4,"AT RISK - Hold for QC","OK")</f>
        <v>AT RISK - Hold for QC</v>
      </c>
    </row>
    <row r="20" customFormat="false" ht="15" hidden="false" customHeight="false" outlineLevel="0" collapsed="false">
      <c r="A20" s="8" t="n">
        <f aca="false">'Defect Log'!A17</f>
        <v>13</v>
      </c>
      <c r="B20" s="15" t="n">
        <f aca="false">'Defect Log'!B17</f>
        <v>46272</v>
      </c>
      <c r="C20" s="8" t="str">
        <f aca="false">'Defect Log'!C17</f>
        <v>SKU-B</v>
      </c>
      <c r="D20" s="8" t="str">
        <f aca="false">'Defect Log'!G17</f>
        <v>B103</v>
      </c>
      <c r="E20" s="8" t="n">
        <f aca="false">'Defect Log'!K17</f>
        <v>14.6</v>
      </c>
      <c r="F20" s="8" t="str">
        <f aca="false">IF(E20&lt;$C$4,"AT RISK - Hold for QC","OK")</f>
        <v>OK</v>
      </c>
    </row>
    <row r="21" customFormat="false" ht="15" hidden="false" customHeight="false" outlineLevel="0" collapsed="false">
      <c r="A21" s="8" t="n">
        <f aca="false">'Defect Log'!A18</f>
        <v>14</v>
      </c>
      <c r="B21" s="15" t="n">
        <f aca="false">'Defect Log'!B18</f>
        <v>46245</v>
      </c>
      <c r="C21" s="8" t="str">
        <f aca="false">'Defect Log'!C18</f>
        <v>SKU-C</v>
      </c>
      <c r="D21" s="8" t="str">
        <f aca="false">'Defect Log'!G18</f>
        <v>B101</v>
      </c>
      <c r="E21" s="8" t="n">
        <f aca="false">'Defect Log'!K18</f>
        <v>16.2</v>
      </c>
      <c r="F21" s="8" t="str">
        <f aca="false">IF(E21&lt;$C$4,"AT RISK - Hold for QC","OK")</f>
        <v>OK</v>
      </c>
    </row>
    <row r="22" customFormat="false" ht="15" hidden="false" customHeight="false" outlineLevel="0" collapsed="false">
      <c r="A22" s="8" t="n">
        <f aca="false">'Defect Log'!A19</f>
        <v>15</v>
      </c>
      <c r="B22" s="15" t="n">
        <f aca="false">'Defect Log'!B19</f>
        <v>46241</v>
      </c>
      <c r="C22" s="8" t="str">
        <f aca="false">'Defect Log'!C19</f>
        <v>SKU-A</v>
      </c>
      <c r="D22" s="8" t="str">
        <f aca="false">'Defect Log'!G19</f>
        <v>B103</v>
      </c>
      <c r="E22" s="8" t="n">
        <f aca="false">'Defect Log'!K19</f>
        <v>10.1</v>
      </c>
      <c r="F22" s="8" t="str">
        <f aca="false">IF(E22&lt;$C$4,"AT RISK - Hold for QC","OK")</f>
        <v>AT RISK - Hold for QC</v>
      </c>
    </row>
    <row r="23" customFormat="false" ht="15" hidden="false" customHeight="false" outlineLevel="0" collapsed="false">
      <c r="A23" s="8" t="n">
        <f aca="false">'Defect Log'!A20</f>
        <v>16</v>
      </c>
      <c r="B23" s="15" t="n">
        <f aca="false">'Defect Log'!B20</f>
        <v>46239</v>
      </c>
      <c r="C23" s="8" t="str">
        <f aca="false">'Defect Log'!C20</f>
        <v>SKU-A</v>
      </c>
      <c r="D23" s="8" t="str">
        <f aca="false">'Defect Log'!G20</f>
        <v>B104</v>
      </c>
      <c r="E23" s="8" t="n">
        <f aca="false">'Defect Log'!K20</f>
        <v>17.1</v>
      </c>
      <c r="F23" s="8" t="str">
        <f aca="false">IF(E23&lt;$C$4,"AT RISK - Hold for QC","OK")</f>
        <v>OK</v>
      </c>
    </row>
    <row r="24" customFormat="false" ht="15" hidden="false" customHeight="false" outlineLevel="0" collapsed="false">
      <c r="A24" s="8" t="n">
        <f aca="false">'Defect Log'!A21</f>
        <v>17</v>
      </c>
      <c r="B24" s="15" t="n">
        <f aca="false">'Defect Log'!B21</f>
        <v>46239</v>
      </c>
      <c r="C24" s="8" t="str">
        <f aca="false">'Defect Log'!C21</f>
        <v>SKU-B</v>
      </c>
      <c r="D24" s="8" t="str">
        <f aca="false">'Defect Log'!G21</f>
        <v>B102</v>
      </c>
      <c r="E24" s="8" t="n">
        <f aca="false">'Defect Log'!K21</f>
        <v>16.4</v>
      </c>
      <c r="F24" s="8" t="str">
        <f aca="false">IF(E24&lt;$C$4,"AT RISK - Hold for QC","OK")</f>
        <v>OK</v>
      </c>
    </row>
    <row r="25" customFormat="false" ht="15" hidden="false" customHeight="false" outlineLevel="0" collapsed="false">
      <c r="A25" s="8" t="n">
        <f aca="false">'Defect Log'!A22</f>
        <v>18</v>
      </c>
      <c r="B25" s="15" t="n">
        <f aca="false">'Defect Log'!B22</f>
        <v>46243</v>
      </c>
      <c r="C25" s="8" t="str">
        <f aca="false">'Defect Log'!C22</f>
        <v>SKU-B</v>
      </c>
      <c r="D25" s="8" t="str">
        <f aca="false">'Defect Log'!G22</f>
        <v>B101</v>
      </c>
      <c r="E25" s="8" t="n">
        <f aca="false">'Defect Log'!K22</f>
        <v>19.7</v>
      </c>
      <c r="F25" s="8" t="str">
        <f aca="false">IF(E25&lt;$C$4,"AT RISK - Hold for QC","OK")</f>
        <v>OK</v>
      </c>
    </row>
    <row r="26" customFormat="false" ht="15" hidden="false" customHeight="false" outlineLevel="0" collapsed="false">
      <c r="A26" s="8" t="n">
        <f aca="false">'Defect Log'!A23</f>
        <v>19</v>
      </c>
      <c r="B26" s="15" t="n">
        <f aca="false">'Defect Log'!B23</f>
        <v>46279</v>
      </c>
      <c r="C26" s="8" t="str">
        <f aca="false">'Defect Log'!C23</f>
        <v>SKU-B</v>
      </c>
      <c r="D26" s="8" t="str">
        <f aca="false">'Defect Log'!G23</f>
        <v>B103</v>
      </c>
      <c r="E26" s="8" t="n">
        <f aca="false">'Defect Log'!K23</f>
        <v>8.3</v>
      </c>
      <c r="F26" s="8" t="str">
        <f aca="false">IF(E26&lt;$C$4,"AT RISK - Hold for QC","OK")</f>
        <v>AT RISK - Hold for QC</v>
      </c>
    </row>
    <row r="27" customFormat="false" ht="15" hidden="false" customHeight="false" outlineLevel="0" collapsed="false">
      <c r="A27" s="8" t="n">
        <f aca="false">'Defect Log'!A24</f>
        <v>20</v>
      </c>
      <c r="B27" s="15" t="n">
        <f aca="false">'Defect Log'!B24</f>
        <v>46258</v>
      </c>
      <c r="C27" s="8" t="str">
        <f aca="false">'Defect Log'!C24</f>
        <v>SKU-C</v>
      </c>
      <c r="D27" s="8" t="str">
        <f aca="false">'Defect Log'!G24</f>
        <v>B103</v>
      </c>
      <c r="E27" s="8" t="n">
        <f aca="false">'Defect Log'!K24</f>
        <v>18.5</v>
      </c>
      <c r="F27" s="8" t="str">
        <f aca="false">IF(E27&lt;$C$4,"AT RISK - Hold for QC","OK")</f>
        <v>OK</v>
      </c>
    </row>
    <row r="28" customFormat="false" ht="15" hidden="false" customHeight="false" outlineLevel="0" collapsed="false">
      <c r="A28" s="8" t="n">
        <f aca="false">'Defect Log'!A25</f>
        <v>21</v>
      </c>
      <c r="B28" s="15" t="n">
        <f aca="false">'Defect Log'!B25</f>
        <v>46265</v>
      </c>
      <c r="C28" s="8" t="str">
        <f aca="false">'Defect Log'!C25</f>
        <v>SKU-A</v>
      </c>
      <c r="D28" s="8" t="str">
        <f aca="false">'Defect Log'!G25</f>
        <v>B104</v>
      </c>
      <c r="E28" s="8" t="n">
        <f aca="false">'Defect Log'!K25</f>
        <v>17.8</v>
      </c>
      <c r="F28" s="8" t="str">
        <f aca="false">IF(E28&lt;$C$4,"AT RISK - Hold for QC","OK")</f>
        <v>OK</v>
      </c>
    </row>
    <row r="29" customFormat="false" ht="15" hidden="false" customHeight="false" outlineLevel="0" collapsed="false">
      <c r="A29" s="8" t="n">
        <f aca="false">'Defect Log'!A26</f>
        <v>22</v>
      </c>
      <c r="B29" s="15" t="n">
        <f aca="false">'Defect Log'!B26</f>
        <v>46275</v>
      </c>
      <c r="C29" s="8" t="str">
        <f aca="false">'Defect Log'!C26</f>
        <v>SKU-A</v>
      </c>
      <c r="D29" s="8" t="str">
        <f aca="false">'Defect Log'!G26</f>
        <v>B103</v>
      </c>
      <c r="E29" s="8" t="n">
        <f aca="false">'Defect Log'!K26</f>
        <v>11.7</v>
      </c>
      <c r="F29" s="8" t="str">
        <f aca="false">IF(E29&lt;$C$4,"AT RISK - Hold for QC","OK")</f>
        <v>AT RISK - Hold for QC</v>
      </c>
    </row>
    <row r="30" customFormat="false" ht="15" hidden="false" customHeight="false" outlineLevel="0" collapsed="false">
      <c r="A30" s="8" t="n">
        <f aca="false">'Defect Log'!A27</f>
        <v>23</v>
      </c>
      <c r="B30" s="15" t="n">
        <f aca="false">'Defect Log'!B27</f>
        <v>46264</v>
      </c>
      <c r="C30" s="8" t="str">
        <f aca="false">'Defect Log'!C27</f>
        <v>SKU-C</v>
      </c>
      <c r="D30" s="8" t="str">
        <f aca="false">'Defect Log'!G27</f>
        <v>B101</v>
      </c>
      <c r="E30" s="8" t="n">
        <f aca="false">'Defect Log'!K27</f>
        <v>22.5</v>
      </c>
      <c r="F30" s="8" t="str">
        <f aca="false">IF(E30&lt;$C$4,"AT RISK - Hold for QC","OK")</f>
        <v>OK</v>
      </c>
    </row>
    <row r="31" customFormat="false" ht="15" hidden="false" customHeight="false" outlineLevel="0" collapsed="false">
      <c r="A31" s="8" t="n">
        <f aca="false">'Defect Log'!A28</f>
        <v>24</v>
      </c>
      <c r="B31" s="15" t="n">
        <f aca="false">'Defect Log'!B28</f>
        <v>46274</v>
      </c>
      <c r="C31" s="8" t="str">
        <f aca="false">'Defect Log'!C28</f>
        <v>SKU-C</v>
      </c>
      <c r="D31" s="8" t="str">
        <f aca="false">'Defect Log'!G28</f>
        <v>B102</v>
      </c>
      <c r="E31" s="8" t="n">
        <f aca="false">'Defect Log'!K28</f>
        <v>18.6</v>
      </c>
      <c r="F31" s="8" t="str">
        <f aca="false">IF(E31&lt;$C$4,"AT RISK - Hold for QC","OK")</f>
        <v>OK</v>
      </c>
    </row>
    <row r="32" customFormat="false" ht="15" hidden="false" customHeight="false" outlineLevel="0" collapsed="false">
      <c r="A32" s="8" t="n">
        <f aca="false">'Defect Log'!A29</f>
        <v>25</v>
      </c>
      <c r="B32" s="15" t="n">
        <f aca="false">'Defect Log'!B29</f>
        <v>46245</v>
      </c>
      <c r="C32" s="8" t="str">
        <f aca="false">'Defect Log'!C29</f>
        <v>SKU-B</v>
      </c>
      <c r="D32" s="8" t="str">
        <f aca="false">'Defect Log'!G29</f>
        <v>B103</v>
      </c>
      <c r="E32" s="8" t="n">
        <f aca="false">'Defect Log'!K29</f>
        <v>12.2</v>
      </c>
      <c r="F32" s="8" t="str">
        <f aca="false">IF(E32&lt;$C$4,"AT RISK - Hold for QC","OK")</f>
        <v>AT RISK - Hold for QC</v>
      </c>
    </row>
    <row r="33" customFormat="false" ht="15" hidden="false" customHeight="false" outlineLevel="0" collapsed="false">
      <c r="A33" s="8" t="n">
        <f aca="false">'Defect Log'!A30</f>
        <v>26</v>
      </c>
      <c r="B33" s="15" t="n">
        <f aca="false">'Defect Log'!B30</f>
        <v>46259</v>
      </c>
      <c r="C33" s="8" t="str">
        <f aca="false">'Defect Log'!C30</f>
        <v>SKU-A</v>
      </c>
      <c r="D33" s="8" t="str">
        <f aca="false">'Defect Log'!G30</f>
        <v>B103</v>
      </c>
      <c r="E33" s="8" t="n">
        <f aca="false">'Defect Log'!K30</f>
        <v>13.5</v>
      </c>
      <c r="F33" s="8" t="str">
        <f aca="false">IF(E33&lt;$C$4,"AT RISK - Hold for QC","OK")</f>
        <v>AT RISK - Hold for QC</v>
      </c>
    </row>
    <row r="34" customFormat="false" ht="15" hidden="false" customHeight="false" outlineLevel="0" collapsed="false">
      <c r="A34" s="8" t="n">
        <f aca="false">'Defect Log'!A31</f>
        <v>27</v>
      </c>
      <c r="B34" s="15" t="n">
        <f aca="false">'Defect Log'!B31</f>
        <v>46252</v>
      </c>
      <c r="C34" s="8" t="str">
        <f aca="false">'Defect Log'!C31</f>
        <v>SKU-A</v>
      </c>
      <c r="D34" s="8" t="str">
        <f aca="false">'Defect Log'!G31</f>
        <v>B103</v>
      </c>
      <c r="E34" s="8" t="n">
        <f aca="false">'Defect Log'!K31</f>
        <v>9.1</v>
      </c>
      <c r="F34" s="8" t="str">
        <f aca="false">IF(E34&lt;$C$4,"AT RISK - Hold for QC","OK")</f>
        <v>AT RISK - Hold for QC</v>
      </c>
    </row>
    <row r="35" customFormat="false" ht="15" hidden="false" customHeight="false" outlineLevel="0" collapsed="false">
      <c r="A35" s="8" t="n">
        <f aca="false">'Defect Log'!A32</f>
        <v>28</v>
      </c>
      <c r="B35" s="15" t="n">
        <f aca="false">'Defect Log'!B32</f>
        <v>46280</v>
      </c>
      <c r="C35" s="8" t="str">
        <f aca="false">'Defect Log'!C32</f>
        <v>SKU-C</v>
      </c>
      <c r="D35" s="8" t="str">
        <f aca="false">'Defect Log'!G32</f>
        <v>B103</v>
      </c>
      <c r="E35" s="8" t="n">
        <f aca="false">'Defect Log'!K32</f>
        <v>12.9</v>
      </c>
      <c r="F35" s="8" t="str">
        <f aca="false">IF(E35&lt;$C$4,"AT RISK - Hold for QC","OK")</f>
        <v>AT RISK - Hold for QC</v>
      </c>
    </row>
    <row r="36" customFormat="false" ht="15" hidden="false" customHeight="false" outlineLevel="0" collapsed="false">
      <c r="A36" s="8" t="n">
        <f aca="false">'Defect Log'!A33</f>
        <v>29</v>
      </c>
      <c r="B36" s="15" t="n">
        <f aca="false">'Defect Log'!B33</f>
        <v>46280</v>
      </c>
      <c r="C36" s="8" t="str">
        <f aca="false">'Defect Log'!C33</f>
        <v>SKU-B</v>
      </c>
      <c r="D36" s="8" t="str">
        <f aca="false">'Defect Log'!G33</f>
        <v>B104</v>
      </c>
      <c r="E36" s="8" t="n">
        <f aca="false">'Defect Log'!K33</f>
        <v>17.6</v>
      </c>
      <c r="F36" s="8" t="str">
        <f aca="false">IF(E36&lt;$C$4,"AT RISK - Hold for QC","OK")</f>
        <v>OK</v>
      </c>
    </row>
    <row r="37" customFormat="false" ht="15" hidden="false" customHeight="false" outlineLevel="0" collapsed="false">
      <c r="A37" s="8" t="n">
        <f aca="false">'Defect Log'!A34</f>
        <v>30</v>
      </c>
      <c r="B37" s="15" t="n">
        <f aca="false">'Defect Log'!B34</f>
        <v>46244</v>
      </c>
      <c r="C37" s="8" t="str">
        <f aca="false">'Defect Log'!C34</f>
        <v>SKU-A</v>
      </c>
      <c r="D37" s="8" t="str">
        <f aca="false">'Defect Log'!G34</f>
        <v>B103</v>
      </c>
      <c r="E37" s="8" t="n">
        <f aca="false">'Defect Log'!K34</f>
        <v>11.6</v>
      </c>
      <c r="F37" s="8" t="str">
        <f aca="false">IF(E37&lt;$C$4,"AT RISK - Hold for QC","OK")</f>
        <v>AT RISK - Hold for QC</v>
      </c>
    </row>
    <row r="38" customFormat="false" ht="15" hidden="false" customHeight="false" outlineLevel="0" collapsed="false">
      <c r="A38" s="8" t="n">
        <f aca="false">'Defect Log'!A35</f>
        <v>31</v>
      </c>
      <c r="B38" s="15" t="n">
        <f aca="false">'Defect Log'!B35</f>
        <v>46247</v>
      </c>
      <c r="C38" s="8" t="str">
        <f aca="false">'Defect Log'!C35</f>
        <v>SKU-B</v>
      </c>
      <c r="D38" s="8" t="str">
        <f aca="false">'Defect Log'!G35</f>
        <v>B101</v>
      </c>
      <c r="E38" s="8" t="n">
        <f aca="false">'Defect Log'!K35</f>
        <v>18.6</v>
      </c>
      <c r="F38" s="8" t="str">
        <f aca="false">IF(E38&lt;$C$4,"AT RISK - Hold for QC","OK")</f>
        <v>OK</v>
      </c>
    </row>
    <row r="39" customFormat="false" ht="15" hidden="false" customHeight="false" outlineLevel="0" collapsed="false">
      <c r="A39" s="8" t="n">
        <f aca="false">'Defect Log'!A36</f>
        <v>32</v>
      </c>
      <c r="B39" s="15" t="n">
        <f aca="false">'Defect Log'!B36</f>
        <v>46268</v>
      </c>
      <c r="C39" s="8" t="str">
        <f aca="false">'Defect Log'!C36</f>
        <v>SKU-C</v>
      </c>
      <c r="D39" s="8" t="str">
        <f aca="false">'Defect Log'!G36</f>
        <v>B104</v>
      </c>
      <c r="E39" s="8" t="n">
        <f aca="false">'Defect Log'!K36</f>
        <v>19.3</v>
      </c>
      <c r="F39" s="8" t="str">
        <f aca="false">IF(E39&lt;$C$4,"AT RISK - Hold for QC","OK")</f>
        <v>OK</v>
      </c>
    </row>
    <row r="40" customFormat="false" ht="15" hidden="false" customHeight="false" outlineLevel="0" collapsed="false">
      <c r="A40" s="8" t="n">
        <f aca="false">'Defect Log'!A37</f>
        <v>33</v>
      </c>
      <c r="B40" s="15" t="n">
        <f aca="false">'Defect Log'!B37</f>
        <v>46263</v>
      </c>
      <c r="C40" s="8" t="str">
        <f aca="false">'Defect Log'!C37</f>
        <v>SKU-B</v>
      </c>
      <c r="D40" s="8" t="str">
        <f aca="false">'Defect Log'!G37</f>
        <v>B103</v>
      </c>
      <c r="E40" s="8" t="n">
        <f aca="false">'Defect Log'!K37</f>
        <v>14.1</v>
      </c>
      <c r="F40" s="8" t="str">
        <f aca="false">IF(E40&lt;$C$4,"AT RISK - Hold for QC","OK")</f>
        <v>OK</v>
      </c>
    </row>
    <row r="41" customFormat="false" ht="15" hidden="false" customHeight="false" outlineLevel="0" collapsed="false">
      <c r="A41" s="8" t="n">
        <f aca="false">'Defect Log'!A38</f>
        <v>34</v>
      </c>
      <c r="B41" s="15" t="n">
        <f aca="false">'Defect Log'!B38</f>
        <v>46276</v>
      </c>
      <c r="C41" s="8" t="str">
        <f aca="false">'Defect Log'!C38</f>
        <v>SKU-A</v>
      </c>
      <c r="D41" s="8" t="str">
        <f aca="false">'Defect Log'!G38</f>
        <v>B103</v>
      </c>
      <c r="E41" s="8" t="n">
        <f aca="false">'Defect Log'!K38</f>
        <v>9</v>
      </c>
      <c r="F41" s="8" t="str">
        <f aca="false">IF(E41&lt;$C$4,"AT RISK - Hold for QC","OK")</f>
        <v>AT RISK - Hold for QC</v>
      </c>
    </row>
    <row r="42" customFormat="false" ht="15" hidden="false" customHeight="false" outlineLevel="0" collapsed="false">
      <c r="A42" s="8" t="n">
        <f aca="false">'Defect Log'!A39</f>
        <v>35</v>
      </c>
      <c r="B42" s="15" t="n">
        <f aca="false">'Defect Log'!B39</f>
        <v>46269</v>
      </c>
      <c r="C42" s="8" t="str">
        <f aca="false">'Defect Log'!C39</f>
        <v>SKU-B</v>
      </c>
      <c r="D42" s="8" t="str">
        <f aca="false">'Defect Log'!G39</f>
        <v>B101</v>
      </c>
      <c r="E42" s="8" t="n">
        <f aca="false">'Defect Log'!K39</f>
        <v>15.9</v>
      </c>
      <c r="F42" s="8" t="str">
        <f aca="false">IF(E42&lt;$C$4,"AT RISK - Hold for QC","OK")</f>
        <v>OK</v>
      </c>
    </row>
    <row r="43" customFormat="false" ht="15" hidden="false" customHeight="false" outlineLevel="0" collapsed="false">
      <c r="A43" s="8" t="n">
        <f aca="false">'Defect Log'!A40</f>
        <v>36</v>
      </c>
      <c r="B43" s="15" t="n">
        <f aca="false">'Defect Log'!B40</f>
        <v>46236</v>
      </c>
      <c r="C43" s="8" t="str">
        <f aca="false">'Defect Log'!C40</f>
        <v>SKU-A</v>
      </c>
      <c r="D43" s="8" t="str">
        <f aca="false">'Defect Log'!G40</f>
        <v>B103</v>
      </c>
      <c r="E43" s="8" t="n">
        <f aca="false">'Defect Log'!K40</f>
        <v>12.4</v>
      </c>
      <c r="F43" s="8" t="str">
        <f aca="false">IF(E43&lt;$C$4,"AT RISK - Hold for QC","OK")</f>
        <v>AT RISK - Hold for QC</v>
      </c>
    </row>
    <row r="44" customFormat="false" ht="15" hidden="false" customHeight="false" outlineLevel="0" collapsed="false">
      <c r="A44" s="8" t="n">
        <f aca="false">'Defect Log'!A41</f>
        <v>37</v>
      </c>
      <c r="B44" s="15" t="n">
        <f aca="false">'Defect Log'!B41</f>
        <v>46268</v>
      </c>
      <c r="C44" s="8" t="str">
        <f aca="false">'Defect Log'!C41</f>
        <v>SKU-C</v>
      </c>
      <c r="D44" s="8" t="str">
        <f aca="false">'Defect Log'!G41</f>
        <v>B104</v>
      </c>
      <c r="E44" s="8" t="n">
        <f aca="false">'Defect Log'!K41</f>
        <v>16.5</v>
      </c>
      <c r="F44" s="8" t="str">
        <f aca="false">IF(E44&lt;$C$4,"AT RISK - Hold for QC","OK")</f>
        <v>OK</v>
      </c>
    </row>
    <row r="45" customFormat="false" ht="15" hidden="false" customHeight="false" outlineLevel="0" collapsed="false">
      <c r="A45" s="8" t="n">
        <f aca="false">'Defect Log'!A42</f>
        <v>38</v>
      </c>
      <c r="B45" s="15" t="n">
        <f aca="false">'Defect Log'!B42</f>
        <v>46268</v>
      </c>
      <c r="C45" s="8" t="str">
        <f aca="false">'Defect Log'!C42</f>
        <v>SKU-C</v>
      </c>
      <c r="D45" s="8" t="str">
        <f aca="false">'Defect Log'!G42</f>
        <v>B102</v>
      </c>
      <c r="E45" s="8" t="n">
        <f aca="false">'Defect Log'!K42</f>
        <v>17.8</v>
      </c>
      <c r="F45" s="8" t="str">
        <f aca="false">IF(E45&lt;$C$4,"AT RISK - Hold for QC","OK")</f>
        <v>OK</v>
      </c>
    </row>
    <row r="46" customFormat="false" ht="15" hidden="false" customHeight="false" outlineLevel="0" collapsed="false">
      <c r="A46" s="8" t="n">
        <f aca="false">'Defect Log'!A43</f>
        <v>39</v>
      </c>
      <c r="B46" s="15" t="n">
        <f aca="false">'Defect Log'!B43</f>
        <v>46269</v>
      </c>
      <c r="C46" s="8" t="str">
        <f aca="false">'Defect Log'!C43</f>
        <v>SKU-C</v>
      </c>
      <c r="D46" s="8" t="str">
        <f aca="false">'Defect Log'!G43</f>
        <v>B103</v>
      </c>
      <c r="E46" s="8" t="n">
        <f aca="false">'Defect Log'!K43</f>
        <v>8.8</v>
      </c>
      <c r="F46" s="8" t="str">
        <f aca="false">IF(E46&lt;$C$4,"AT RISK - Hold for QC","OK")</f>
        <v>AT RISK - Hold for QC</v>
      </c>
    </row>
    <row r="47" customFormat="false" ht="15" hidden="false" customHeight="false" outlineLevel="0" collapsed="false">
      <c r="A47" s="8" t="n">
        <f aca="false">'Defect Log'!A44</f>
        <v>40</v>
      </c>
      <c r="B47" s="15" t="n">
        <f aca="false">'Defect Log'!B44</f>
        <v>46237</v>
      </c>
      <c r="C47" s="8" t="str">
        <f aca="false">'Defect Log'!C44</f>
        <v>SKU-C</v>
      </c>
      <c r="D47" s="8" t="str">
        <f aca="false">'Defect Log'!G44</f>
        <v>B102</v>
      </c>
      <c r="E47" s="8" t="n">
        <f aca="false">'Defect Log'!K44</f>
        <v>18</v>
      </c>
      <c r="F47" s="8" t="str">
        <f aca="false">IF(E47&lt;$C$4,"AT RISK - Hold for QC","OK")</f>
        <v>OK</v>
      </c>
    </row>
    <row r="48" customFormat="false" ht="15" hidden="false" customHeight="false" outlineLevel="0" collapsed="false">
      <c r="A48" s="8" t="n">
        <f aca="false">'Defect Log'!A45</f>
        <v>41</v>
      </c>
      <c r="B48" s="15" t="n">
        <f aca="false">'Defect Log'!B45</f>
        <v>46264</v>
      </c>
      <c r="C48" s="8" t="str">
        <f aca="false">'Defect Log'!C45</f>
        <v>SKU-B</v>
      </c>
      <c r="D48" s="8" t="str">
        <f aca="false">'Defect Log'!G45</f>
        <v>B102</v>
      </c>
      <c r="E48" s="8" t="n">
        <f aca="false">'Defect Log'!K45</f>
        <v>15.9</v>
      </c>
      <c r="F48" s="8" t="str">
        <f aca="false">IF(E48&lt;$C$4,"AT RISK - Hold for QC","OK")</f>
        <v>OK</v>
      </c>
    </row>
    <row r="49" customFormat="false" ht="15" hidden="false" customHeight="false" outlineLevel="0" collapsed="false">
      <c r="A49" s="8" t="n">
        <f aca="false">'Defect Log'!A46</f>
        <v>42</v>
      </c>
      <c r="B49" s="15" t="n">
        <f aca="false">'Defect Log'!B46</f>
        <v>46241</v>
      </c>
      <c r="C49" s="8" t="str">
        <f aca="false">'Defect Log'!C46</f>
        <v>SKU-A</v>
      </c>
      <c r="D49" s="8" t="str">
        <f aca="false">'Defect Log'!G46</f>
        <v>B102</v>
      </c>
      <c r="E49" s="8" t="n">
        <f aca="false">'Defect Log'!K46</f>
        <v>21.3</v>
      </c>
      <c r="F49" s="8" t="str">
        <f aca="false">IF(E49&lt;$C$4,"AT RISK - Hold for QC","OK")</f>
        <v>OK</v>
      </c>
    </row>
    <row r="50" customFormat="false" ht="15" hidden="false" customHeight="false" outlineLevel="0" collapsed="false">
      <c r="A50" s="8" t="n">
        <f aca="false">'Defect Log'!A47</f>
        <v>43</v>
      </c>
      <c r="B50" s="15" t="n">
        <f aca="false">'Defect Log'!B47</f>
        <v>46244</v>
      </c>
      <c r="C50" s="8" t="str">
        <f aca="false">'Defect Log'!C47</f>
        <v>SKU-A</v>
      </c>
      <c r="D50" s="8" t="str">
        <f aca="false">'Defect Log'!G47</f>
        <v>B103</v>
      </c>
      <c r="E50" s="8" t="n">
        <f aca="false">'Defect Log'!K47</f>
        <v>10.8</v>
      </c>
      <c r="F50" s="8" t="str">
        <f aca="false">IF(E50&lt;$C$4,"AT RISK - Hold for QC","OK")</f>
        <v>AT RISK - Hold for QC</v>
      </c>
    </row>
    <row r="51" customFormat="false" ht="15" hidden="false" customHeight="false" outlineLevel="0" collapsed="false">
      <c r="A51" s="8" t="n">
        <f aca="false">'Defect Log'!A48</f>
        <v>44</v>
      </c>
      <c r="B51" s="15" t="n">
        <f aca="false">'Defect Log'!B48</f>
        <v>46289</v>
      </c>
      <c r="C51" s="8" t="str">
        <f aca="false">'Defect Log'!C48</f>
        <v>SKU-C</v>
      </c>
      <c r="D51" s="8" t="str">
        <f aca="false">'Defect Log'!G48</f>
        <v>B104</v>
      </c>
      <c r="E51" s="8" t="n">
        <f aca="false">'Defect Log'!K48</f>
        <v>17.4</v>
      </c>
      <c r="F51" s="8" t="str">
        <f aca="false">IF(E51&lt;$C$4,"AT RISK - Hold for QC","OK")</f>
        <v>OK</v>
      </c>
    </row>
    <row r="52" customFormat="false" ht="15" hidden="false" customHeight="false" outlineLevel="0" collapsed="false">
      <c r="A52" s="8" t="n">
        <f aca="false">'Defect Log'!A49</f>
        <v>45</v>
      </c>
      <c r="B52" s="15" t="n">
        <f aca="false">'Defect Log'!B49</f>
        <v>46261</v>
      </c>
      <c r="C52" s="8" t="str">
        <f aca="false">'Defect Log'!C49</f>
        <v>SKU-C</v>
      </c>
      <c r="D52" s="8" t="str">
        <f aca="false">'Defect Log'!G49</f>
        <v>B102</v>
      </c>
      <c r="E52" s="8" t="n">
        <f aca="false">'Defect Log'!K49</f>
        <v>14.5</v>
      </c>
      <c r="F52" s="8" t="str">
        <f aca="false">IF(E52&lt;$C$4,"AT RISK - Hold for QC","OK")</f>
        <v>OK</v>
      </c>
    </row>
    <row r="53" customFormat="false" ht="15" hidden="false" customHeight="false" outlineLevel="0" collapsed="false">
      <c r="A53" s="8" t="n">
        <f aca="false">'Defect Log'!A50</f>
        <v>46</v>
      </c>
      <c r="B53" s="15" t="n">
        <f aca="false">'Defect Log'!B50</f>
        <v>46243</v>
      </c>
      <c r="C53" s="8" t="str">
        <f aca="false">'Defect Log'!C50</f>
        <v>SKU-A</v>
      </c>
      <c r="D53" s="8" t="str">
        <f aca="false">'Defect Log'!G50</f>
        <v>B102</v>
      </c>
      <c r="E53" s="8" t="n">
        <f aca="false">'Defect Log'!K50</f>
        <v>17.3</v>
      </c>
      <c r="F53" s="8" t="str">
        <f aca="false">IF(E53&lt;$C$4,"AT RISK - Hold for QC","OK")</f>
        <v>OK</v>
      </c>
    </row>
    <row r="54" customFormat="false" ht="15" hidden="false" customHeight="false" outlineLevel="0" collapsed="false">
      <c r="A54" s="8" t="n">
        <f aca="false">'Defect Log'!A51</f>
        <v>47</v>
      </c>
      <c r="B54" s="15" t="n">
        <f aca="false">'Defect Log'!B51</f>
        <v>46247</v>
      </c>
      <c r="C54" s="8" t="str">
        <f aca="false">'Defect Log'!C51</f>
        <v>SKU-A</v>
      </c>
      <c r="D54" s="8" t="str">
        <f aca="false">'Defect Log'!G51</f>
        <v>B103</v>
      </c>
      <c r="E54" s="8" t="n">
        <f aca="false">'Defect Log'!K51</f>
        <v>9.9</v>
      </c>
      <c r="F54" s="8" t="str">
        <f aca="false">IF(E54&lt;$C$4,"AT RISK - Hold for QC","OK")</f>
        <v>AT RISK - Hold for QC</v>
      </c>
    </row>
    <row r="55" customFormat="false" ht="15" hidden="false" customHeight="false" outlineLevel="0" collapsed="false">
      <c r="A55" s="8" t="n">
        <f aca="false">'Defect Log'!A52</f>
        <v>48</v>
      </c>
      <c r="B55" s="15" t="n">
        <f aca="false">'Defect Log'!B52</f>
        <v>46280</v>
      </c>
      <c r="C55" s="8" t="str">
        <f aca="false">'Defect Log'!C52</f>
        <v>SKU-A</v>
      </c>
      <c r="D55" s="8" t="str">
        <f aca="false">'Defect Log'!G52</f>
        <v>B103</v>
      </c>
      <c r="E55" s="8" t="n">
        <f aca="false">'Defect Log'!K52</f>
        <v>12.9</v>
      </c>
      <c r="F55" s="8" t="str">
        <f aca="false">IF(E55&lt;$C$4,"AT RISK - Hold for QC","OK")</f>
        <v>AT RISK - Hold for QC</v>
      </c>
    </row>
    <row r="56" customFormat="false" ht="15" hidden="false" customHeight="false" outlineLevel="0" collapsed="false">
      <c r="A56" s="8" t="n">
        <f aca="false">'Defect Log'!A53</f>
        <v>49</v>
      </c>
      <c r="B56" s="15" t="n">
        <f aca="false">'Defect Log'!B53</f>
        <v>46258</v>
      </c>
      <c r="C56" s="8" t="str">
        <f aca="false">'Defect Log'!C53</f>
        <v>SKU-A</v>
      </c>
      <c r="D56" s="8" t="str">
        <f aca="false">'Defect Log'!G53</f>
        <v>B104</v>
      </c>
      <c r="E56" s="8" t="n">
        <f aca="false">'Defect Log'!K53</f>
        <v>18.4</v>
      </c>
      <c r="F56" s="8" t="str">
        <f aca="false">IF(E56&lt;$C$4,"AT RISK - Hold for QC","OK")</f>
        <v>OK</v>
      </c>
    </row>
    <row r="57" customFormat="false" ht="15" hidden="false" customHeight="false" outlineLevel="0" collapsed="false">
      <c r="A57" s="8" t="n">
        <f aca="false">'Defect Log'!A54</f>
        <v>50</v>
      </c>
      <c r="B57" s="15" t="n">
        <f aca="false">'Defect Log'!B54</f>
        <v>46292</v>
      </c>
      <c r="C57" s="8" t="str">
        <f aca="false">'Defect Log'!C54</f>
        <v>SKU-C</v>
      </c>
      <c r="D57" s="8" t="str">
        <f aca="false">'Defect Log'!G54</f>
        <v>B103</v>
      </c>
      <c r="E57" s="8" t="n">
        <f aca="false">'Defect Log'!K54</f>
        <v>11.8</v>
      </c>
      <c r="F57" s="8" t="str">
        <f aca="false">IF(E57&lt;$C$4,"AT RISK - Hold for QC","OK")</f>
        <v>AT RISK - Hold for QC</v>
      </c>
    </row>
    <row r="59" customFormat="false" ht="15" hidden="false" customHeight="false" outlineLevel="0" collapsed="false">
      <c r="A59" s="16" t="s">
        <v>66</v>
      </c>
      <c r="B59" s="16"/>
      <c r="C59" s="16"/>
      <c r="D59" s="16"/>
      <c r="E59" s="16"/>
      <c r="F59" s="16"/>
    </row>
  </sheetData>
  <mergeCells count="1">
    <mergeCell ref="A59:F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5" min="2" style="0" width="16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10" t="s">
        <v>69</v>
      </c>
    </row>
    <row r="5" customFormat="false" ht="15" hidden="false" customHeight="false" outlineLevel="0" collapsed="false">
      <c r="A5" s="12" t="s">
        <v>70</v>
      </c>
      <c r="C5" s="17" t="n">
        <v>1800</v>
      </c>
    </row>
    <row r="6" customFormat="false" ht="15" hidden="false" customHeight="false" outlineLevel="0" collapsed="false">
      <c r="A6" s="12" t="s">
        <v>71</v>
      </c>
      <c r="C6" s="17" t="n">
        <v>450</v>
      </c>
    </row>
    <row r="7" customFormat="false" ht="15" hidden="false" customHeight="false" outlineLevel="0" collapsed="false">
      <c r="A7" s="12" t="s">
        <v>72</v>
      </c>
      <c r="C7" s="17" t="n">
        <v>4200000</v>
      </c>
    </row>
    <row r="8" customFormat="false" ht="15" hidden="false" customHeight="false" outlineLevel="0" collapsed="false">
      <c r="A8" s="12" t="s">
        <v>73</v>
      </c>
      <c r="C8" s="17" t="n">
        <v>4450000</v>
      </c>
    </row>
    <row r="9" customFormat="false" ht="15" hidden="false" customHeight="false" outlineLevel="0" collapsed="false">
      <c r="A9" s="12" t="s">
        <v>74</v>
      </c>
      <c r="C9" s="17" t="n">
        <v>65000</v>
      </c>
    </row>
    <row r="10" customFormat="false" ht="15" hidden="false" customHeight="false" outlineLevel="0" collapsed="false">
      <c r="A10" s="12" t="s">
        <v>75</v>
      </c>
      <c r="C10" s="17" t="n">
        <v>42000</v>
      </c>
    </row>
    <row r="13" customFormat="false" ht="31.5" hidden="false" customHeight="true" outlineLevel="0" collapsed="false">
      <c r="A13" s="3" t="s">
        <v>76</v>
      </c>
      <c r="B13" s="3" t="s">
        <v>77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</row>
    <row r="14" customFormat="false" ht="15" hidden="false" customHeight="false" outlineLevel="0" collapsed="false">
      <c r="A14" s="4" t="s">
        <v>83</v>
      </c>
      <c r="B14" s="18" t="n">
        <f aca="false">SUMPRODUCT(('Defect Log'!$I$5:$I$54)*(MONTH('Defect Log'!$B$5:$B$54)=8))*$C$5</f>
        <v>162000</v>
      </c>
      <c r="C14" s="18" t="n">
        <f aca="false">SUMPRODUCT(('Defect Log'!$J$5:$J$54)*(MONTH('Defect Log'!$B$5:$B$54)=8))*$C$6</f>
        <v>26280</v>
      </c>
      <c r="D14" s="18" t="n">
        <f aca="false">$C$9</f>
        <v>65000</v>
      </c>
      <c r="E14" s="19" t="n">
        <f aca="false">B14+C14+D14</f>
        <v>253280</v>
      </c>
      <c r="F14" s="18" t="n">
        <f aca="false">$C$7</f>
        <v>4200000</v>
      </c>
      <c r="G14" s="20" t="n">
        <f aca="false">E14/F14</f>
        <v>0.0603047619047619</v>
      </c>
    </row>
    <row r="15" customFormat="false" ht="15" hidden="false" customHeight="false" outlineLevel="0" collapsed="false">
      <c r="A15" s="4" t="s">
        <v>84</v>
      </c>
      <c r="B15" s="18" t="n">
        <f aca="false">SUMPRODUCT(('Defect Log'!$I$5:$I$54)*(MONTH('Defect Log'!$B$5:$B$54)=9))*$C$5</f>
        <v>144000</v>
      </c>
      <c r="C15" s="18" t="n">
        <f aca="false">SUMPRODUCT(('Defect Log'!$J$5:$J$54)*(MONTH('Defect Log'!$B$5:$B$54)=9))*$C$6</f>
        <v>22995</v>
      </c>
      <c r="D15" s="18" t="n">
        <f aca="false">$C$10</f>
        <v>42000</v>
      </c>
      <c r="E15" s="19" t="n">
        <f aca="false">B15+C15+D15</f>
        <v>208995</v>
      </c>
      <c r="F15" s="18" t="n">
        <f aca="false">$C$8</f>
        <v>4450000</v>
      </c>
      <c r="G15" s="20" t="n">
        <f aca="false">E15/F15</f>
        <v>0.0469651685393258</v>
      </c>
    </row>
    <row r="17" customFormat="false" ht="15" hidden="false" customHeight="false" outlineLevel="0" collapsed="false">
      <c r="A17" s="16" t="s">
        <v>85</v>
      </c>
      <c r="B17" s="16"/>
      <c r="C17" s="16"/>
      <c r="D17" s="16"/>
      <c r="E17" s="16"/>
      <c r="F17" s="16"/>
      <c r="G17" s="16"/>
    </row>
  </sheetData>
  <mergeCells count="1"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55"/>
  </cols>
  <sheetData>
    <row r="1" customFormat="false" ht="17.3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4" customFormat="false" ht="31.5" hidden="false" customHeight="true" outlineLevel="0" collapsed="false">
      <c r="A4" s="3" t="s">
        <v>88</v>
      </c>
      <c r="B4" s="3" t="s">
        <v>89</v>
      </c>
      <c r="C4" s="3" t="s">
        <v>90</v>
      </c>
    </row>
    <row r="5" customFormat="false" ht="66" hidden="false" customHeight="true" outlineLevel="0" collapsed="false">
      <c r="A5" s="21" t="s">
        <v>91</v>
      </c>
      <c r="B5" s="22" t="s">
        <v>92</v>
      </c>
      <c r="C5" s="22" t="s">
        <v>93</v>
      </c>
    </row>
    <row r="6" customFormat="false" ht="66" hidden="false" customHeight="true" outlineLevel="0" collapsed="false">
      <c r="A6" s="21" t="s">
        <v>94</v>
      </c>
      <c r="B6" s="22" t="s">
        <v>95</v>
      </c>
      <c r="C6" s="22" t="s">
        <v>96</v>
      </c>
    </row>
    <row r="7" customFormat="false" ht="66" hidden="false" customHeight="true" outlineLevel="0" collapsed="false">
      <c r="A7" s="21" t="s">
        <v>97</v>
      </c>
      <c r="B7" s="22" t="s">
        <v>98</v>
      </c>
      <c r="C7" s="22" t="s">
        <v>99</v>
      </c>
    </row>
    <row r="8" customFormat="false" ht="66" hidden="false" customHeight="true" outlineLevel="0" collapsed="false">
      <c r="A8" s="21" t="s">
        <v>100</v>
      </c>
      <c r="B8" s="22" t="s">
        <v>101</v>
      </c>
      <c r="C8" s="22" t="s">
        <v>102</v>
      </c>
    </row>
    <row r="9" customFormat="false" ht="66" hidden="false" customHeight="true" outlineLevel="0" collapsed="false">
      <c r="A9" s="21" t="s">
        <v>103</v>
      </c>
      <c r="B9" s="22" t="s">
        <v>104</v>
      </c>
      <c r="C9" s="22" t="s">
        <v>105</v>
      </c>
    </row>
    <row r="10" customFormat="false" ht="66" hidden="false" customHeight="true" outlineLevel="0" collapsed="false">
      <c r="A10" s="21" t="s">
        <v>106</v>
      </c>
      <c r="B10" s="22" t="s">
        <v>107</v>
      </c>
      <c r="C10" s="2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2026-09-27T17:46:44Z</dcterms:created>
  <dc:creator>openpyxl</dc:creator>
  <dc:description/>
  <dc:language>en-US</dc:language>
  <cp:lastModifiedBy/>
  <dcterms:modified xsi:type="dcterms:W3CDTF">2026-09-27T23:16:52Z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