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der_Data" sheetId="2" state="visible" r:id="rId4"/>
    <sheet name="Changeover_Matrix" sheetId="3" state="visible" r:id="rId5"/>
    <sheet name="Manual_Schedule" sheetId="4" state="visible" r:id="rId6"/>
    <sheet name="AI_Naive_Schedule" sheetId="5" state="visible" r:id="rId7"/>
    <sheet name="Agent_Schedule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<sst xmlns="http://schemas.openxmlformats.org/spreadsheetml/2006/main" count="293" uniqueCount="129">
  <si>
    <t xml:space="preserve">PEREPA EDU  |  AI for Production Planning</t>
  </si>
  <si>
    <t xml:space="preserve">Case Study 1 — Colour-Run Batch Scheduling for an Ink Manufacturer</t>
  </si>
  <si>
    <t xml:space="preserve">Scenario</t>
  </si>
  <si>
    <t xml:space="preserve">ChromaTech Inks Pvt Ltd is a fictional printing-ink &amp; coatings manufacturer (modelled on the</t>
  </si>
  <si>
    <t xml:space="preserve">Flexible Packaging / Narrow Web business of a global inks group) supplying converters in India.</t>
  </si>
  <si>
    <t xml:space="preserve">Problem</t>
  </si>
  <si>
    <t xml:space="preserve">One mixing/dispersion line must run 20 confirmed colour-batch orders this week. Switching</t>
  </si>
  <si>
    <t xml:space="preserve">between colour families forces a tank wash-up; the wash-up time depends on the FROM -&gt; TO</t>
  </si>
  <si>
    <t xml:space="preserve">colour transition (see Changeover_Matrix). Planners currently sequence by earliest due date,</t>
  </si>
  <si>
    <t xml:space="preserve">which ignores changeover cost and wastes production capacity.</t>
  </si>
  <si>
    <t xml:space="preserve">How to use this file</t>
  </si>
  <si>
    <t xml:space="preserve">1. Order_Data = the raw order book (input, do not edit).</t>
  </si>
  <si>
    <t xml:space="preserve">2. Changeover_Matrix = wash-up time in minutes between colour families (input).</t>
  </si>
  <si>
    <t xml:space="preserve">3. Manual_Schedule = today's approach: sequence by earliest due date (FCFS/EDD).</t>
  </si>
  <si>
    <t xml:space="preserve">4. AI_Naive_Schedule = a colour-clustering heuristic (a simple stand-in for what an</t>
  </si>
  <si>
    <t xml:space="preserve">   unconstrained optimizer/AI model would propose to minimise changeover).</t>
  </si>
  <si>
    <t xml:space="preserve">5. Agent_Schedule = the same clustering logic but with a hard business rule enforced —</t>
  </si>
  <si>
    <t xml:space="preserve">   Rush orders may never be scheduled after their due day. This is what an AI *agent*</t>
  </si>
  <si>
    <t xml:space="preserve">   adds: it doesn't just optimise, it enforces constraints and re-plans around them.</t>
  </si>
  <si>
    <t xml:space="preserve">6. Summary = side-by-side comparison + chart.</t>
  </si>
  <si>
    <t xml:space="preserve">Assumptions</t>
  </si>
  <si>
    <t xml:space="preserve">Mixing rate: 8 kg/minute per batch. Line capacity: 960 minutes/day (2 x 8-hr shifts).</t>
  </si>
  <si>
    <t xml:space="preserve">Schedule start: Monday 06-Oct-2026. All numbers are illustrative training data.</t>
  </si>
  <si>
    <t xml:space="preserve">Exercise for trainees</t>
  </si>
  <si>
    <t xml:space="preserve">Re-order the OrderID column on a copy of AI_Naive_Schedule (try a different</t>
  </si>
  <si>
    <t xml:space="preserve">sequencing rule) and watch Total Changeover / OTIF recalculate. Then try building the same</t>
  </si>
  <si>
    <t xml:space="preserve">sequencing rule as a Power Query / Python function so it runs automatically on a new order file.</t>
  </si>
  <si>
    <t xml:space="preserve">Order_Data (input)</t>
  </si>
  <si>
    <t xml:space="preserve">Raw order book — 20 confirmed batches for the week of 06-Oct-2026</t>
  </si>
  <si>
    <t xml:space="preserve">OrderID</t>
  </si>
  <si>
    <t xml:space="preserve">Customer</t>
  </si>
  <si>
    <t xml:space="preserve">Product</t>
  </si>
  <si>
    <t xml:space="preserve">Colour Family</t>
  </si>
  <si>
    <t xml:space="preserve">Qty (kg)</t>
  </si>
  <si>
    <t xml:space="preserve">Due Date</t>
  </si>
  <si>
    <t xml:space="preserve">Priority</t>
  </si>
  <si>
    <t xml:space="preserve">ORD-101</t>
  </si>
  <si>
    <t xml:space="preserve">Sunrise FlexiPack</t>
  </si>
  <si>
    <t xml:space="preserve">Flexo Ink - Cyan</t>
  </si>
  <si>
    <t xml:space="preserve">Medium</t>
  </si>
  <si>
    <t xml:space="preserve">Standard</t>
  </si>
  <si>
    <t xml:space="preserve">ORD-102</t>
  </si>
  <si>
    <t xml:space="preserve">Apex Labels</t>
  </si>
  <si>
    <t xml:space="preserve">UV Ink - White</t>
  </si>
  <si>
    <t xml:space="preserve">White</t>
  </si>
  <si>
    <t xml:space="preserve">Rush</t>
  </si>
  <si>
    <t xml:space="preserve">ORD-103</t>
  </si>
  <si>
    <t xml:space="preserve">NorthStar Converters</t>
  </si>
  <si>
    <t xml:space="preserve">Solvent Ink - Black</t>
  </si>
  <si>
    <t xml:space="preserve">Black</t>
  </si>
  <si>
    <t xml:space="preserve">ORD-104</t>
  </si>
  <si>
    <t xml:space="preserve">Trident Packaging</t>
  </si>
  <si>
    <t xml:space="preserve">Flexo Ink - Yellow</t>
  </si>
  <si>
    <t xml:space="preserve">Light</t>
  </si>
  <si>
    <t xml:space="preserve">ORD-105</t>
  </si>
  <si>
    <t xml:space="preserve">Kavya Print Solutions</t>
  </si>
  <si>
    <t xml:space="preserve">Gravure Ink - Magenta</t>
  </si>
  <si>
    <t xml:space="preserve">ORD-106</t>
  </si>
  <si>
    <t xml:space="preserve">Om Flexibles</t>
  </si>
  <si>
    <t xml:space="preserve">UV Ink - Silver</t>
  </si>
  <si>
    <t xml:space="preserve">Metallic</t>
  </si>
  <si>
    <t xml:space="preserve">ORD-107</t>
  </si>
  <si>
    <t xml:space="preserve">Flexo Ink - Deep Blue</t>
  </si>
  <si>
    <t xml:space="preserve">Dark</t>
  </si>
  <si>
    <t xml:space="preserve">ORD-108</t>
  </si>
  <si>
    <t xml:space="preserve">Solvent Ink - White</t>
  </si>
  <si>
    <t xml:space="preserve">ORD-109</t>
  </si>
  <si>
    <t xml:space="preserve">Flexo Ink - Orange</t>
  </si>
  <si>
    <t xml:space="preserve">ORD-110</t>
  </si>
  <si>
    <t xml:space="preserve">Gravure Ink - Black</t>
  </si>
  <si>
    <t xml:space="preserve">ORD-111</t>
  </si>
  <si>
    <t xml:space="preserve">UV Ink - Green</t>
  </si>
  <si>
    <t xml:space="preserve">ORD-112</t>
  </si>
  <si>
    <t xml:space="preserve">Flexo Ink - Maroon</t>
  </si>
  <si>
    <t xml:space="preserve">ORD-113</t>
  </si>
  <si>
    <t xml:space="preserve">Solvent Ink - Gold</t>
  </si>
  <si>
    <t xml:space="preserve">ORD-114</t>
  </si>
  <si>
    <t xml:space="preserve">ORD-115</t>
  </si>
  <si>
    <t xml:space="preserve">Gravure Ink - White</t>
  </si>
  <si>
    <t xml:space="preserve">ORD-116</t>
  </si>
  <si>
    <t xml:space="preserve">UV Ink - Black</t>
  </si>
  <si>
    <t xml:space="preserve">ORD-117</t>
  </si>
  <si>
    <t xml:space="preserve">ORD-118</t>
  </si>
  <si>
    <t xml:space="preserve">Solvent Ink - Deep Blue</t>
  </si>
  <si>
    <t xml:space="preserve">ORD-119</t>
  </si>
  <si>
    <t xml:space="preserve">Gravure Ink - Silver</t>
  </si>
  <si>
    <t xml:space="preserve">ORD-120</t>
  </si>
  <si>
    <t xml:space="preserve">Flexo Ink - Magenta</t>
  </si>
  <si>
    <t xml:space="preserve">Changeover_Matrix (input)</t>
  </si>
  <si>
    <t xml:space="preserve">Tank wash-up time in minutes, FROM (row) -&gt; TO (column). Light-to-dark is quick; dark-to-light needs a full purge.</t>
  </si>
  <si>
    <t xml:space="preserve">FROM \ TO</t>
  </si>
  <si>
    <t xml:space="preserve">Manual_Schedule (today's method)</t>
  </si>
  <si>
    <t xml:space="preserve">Sequenced by earliest due date (FCFS / EDD) — no regard for colour changeover cost</t>
  </si>
  <si>
    <t xml:space="preserve">Seq</t>
  </si>
  <si>
    <t xml:space="preserve">Colour
Family</t>
  </si>
  <si>
    <t xml:space="preserve">Qty
(kg)</t>
  </si>
  <si>
    <t xml:space="preserve">Due
Date</t>
  </si>
  <si>
    <t xml:space="preserve">Change-
over (min)</t>
  </si>
  <si>
    <t xml:space="preserve">Process
Time (min)</t>
  </si>
  <si>
    <t xml:space="preserve">Cumulative
(min)</t>
  </si>
  <si>
    <t xml:space="preserve">Due
Day#</t>
  </si>
  <si>
    <t xml:space="preserve">Sched.
Day#</t>
  </si>
  <si>
    <t xml:space="preserve">OTIF</t>
  </si>
  <si>
    <t xml:space="preserve">0</t>
  </si>
  <si>
    <t xml:space="preserve">Mixing rate (kg/min)</t>
  </si>
  <si>
    <t xml:space="preserve">Shift capacity (min/day)</t>
  </si>
  <si>
    <t xml:space="preserve">Schedule start date</t>
  </si>
  <si>
    <t xml:space="preserve">AI_Naive_Schedule (unconstrained optimisation)</t>
  </si>
  <si>
    <t xml:space="preserve">Sequenced to minimise changeover only (White -&gt; Light -&gt; Medium -&gt; Dark -&gt; Black -&gt; Metallic)</t>
  </si>
  <si>
    <t xml:space="preserve">Note</t>
  </si>
  <si>
    <t xml:space="preserve">Lowest total changeover of the three — but it can push a Rush order past its due day because colour-similarity was the only objective. Check the OTIF column.</t>
  </si>
  <si>
    <t xml:space="preserve">Agent_Schedule (constraint-aware)</t>
  </si>
  <si>
    <t xml:space="preserve">Colour-clustering logic + a hard rule: Rush orders are never sequenced past their due day</t>
  </si>
  <si>
    <t xml:space="preserve">This is what an AI agent adds over a plain optimiser: it holds the changeover-minimising logic AND enforces the business rule (Rush SLA) as a constraint, re-sequencing around it instead of ignoring it.</t>
  </si>
  <si>
    <t xml:space="preserve">Summary — Manual vs AI-Naive vs Agent-Constrained</t>
  </si>
  <si>
    <t xml:space="preserve">20 orders, one mixing line, week of 06-Oct-2026</t>
  </si>
  <si>
    <t xml:space="preserve">Metric</t>
  </si>
  <si>
    <t xml:space="preserve">Manual
(FCFS/EDD)</t>
  </si>
  <si>
    <t xml:space="preserve">AI-Naive
(colour cluster)</t>
  </si>
  <si>
    <t xml:space="preserve">Agent
(constrained)</t>
  </si>
  <si>
    <t xml:space="preserve">Total changeover time (min)</t>
  </si>
  <si>
    <t xml:space="preserve">Total changeover time (hrs)</t>
  </si>
  <si>
    <t xml:space="preserve">Total process time (min)</t>
  </si>
  <si>
    <t xml:space="preserve">Total schedule time (min)</t>
  </si>
  <si>
    <t xml:space="preserve">Orders On Time (of 20)</t>
  </si>
  <si>
    <t xml:space="preserve">On-Time %</t>
  </si>
  <si>
    <t xml:space="preserve">Changeover reduction vs Manual</t>
  </si>
  <si>
    <t xml:space="preserve">Reading the result</t>
  </si>
  <si>
    <t xml:space="preserve">The AI-Naive schedule cuts changeover time the most, but it does so by ignoring due-date priority, which pushes one Rush order past its due day (check AI_Naive_Schedule, OTIF column). The Agent schedule keeps almost all of that saving while guaranteeing every Rush order still finishes on time -- the constraint is what turns 'an optimisation' into something safe to run in production unattended.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</si>
</sst>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-mmm\-yy"/>
    <numFmt numFmtId="167" formatCode="0.0"/>
    <numFmt numFmtId="168" formatCode="#,##0.0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D9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BF3D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Changeover Time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Summary!$B$4:$D$4</c:f>
              <c:strCache>
                <c:ptCount val="3"/>
                <c:pt idx="0">
                  <c:v>Manual
(FCFS/EDD)</c:v>
                </c:pt>
                <c:pt idx="1">
                  <c:v>AI-Naive
(colour cluster)</c:v>
                </c:pt>
                <c:pt idx="2">
                  <c:v>Agent
(constrained)</c:v>
                </c:pt>
              </c:strCache>
            </c:strRef>
          </c:cat>
          <c:val>
            <c:numRef>
              <c:f>Summary!$B$5:$D$5</c:f>
              <c:numCache>
                <c:formatCode>#,##0.0</c:formatCode>
                <c:ptCount val="3"/>
                <c:pt idx="0">
                  <c:v>885</c:v>
                </c:pt>
                <c:pt idx="1">
                  <c:v>390</c:v>
                </c:pt>
                <c:pt idx="2">
                  <c:v>570</c:v>
                </c:pt>
              </c:numCache>
            </c:numRef>
          </c:val>
        </c:ser>
        <c:gapWidth val="150"/>
        <c:overlap val="0"/>
        <c:axId val="13910840"/>
        <c:axId val="65170039"/>
      </c:barChart>
      <c:catAx>
        <c:axId val="13910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Approach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70039"/>
        <c:crosses val="autoZero"/>
        <c:auto val="1"/>
        <c:lblAlgn val="ctr"/>
        <c:lblOffset val="100"/>
        <c:noMultiLvlLbl val="0"/>
      </c:catAx>
      <c:valAx>
        <c:axId val="65170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10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147240</xdr:colOff>
      <xdr:row>14</xdr:row>
      <xdr:rowOff>698040</xdr:rowOff>
    </xdr:to>
    <xdr:graphicFrame>
      <xdr:nvGraphicFramePr>
        <xdr:cNvPr id="0" name="Chart 1"/>
        <xdr:cNvGraphicFramePr/>
      </xdr:nvGraphicFramePr>
      <xdr:xfrm>
        <a:off x="6532200" y="7714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2</v>
      </c>
      <c r="B5" s="4" t="s">
        <v>3</v>
      </c>
      <c r="C5" s="4"/>
      <c r="D5" s="4"/>
      <c r="E5" s="4"/>
      <c r="F5" s="4"/>
    </row>
    <row r="6" customFormat="false" ht="15" hidden="false" customHeight="true" outlineLevel="0" collapsed="false">
      <c r="B6" s="4" t="s">
        <v>4</v>
      </c>
      <c r="C6" s="4"/>
      <c r="D6" s="4"/>
      <c r="E6" s="4"/>
      <c r="F6" s="4"/>
    </row>
    <row r="7" customFormat="false" ht="15" hidden="false" customHeight="true" outlineLevel="0" collapsed="false">
      <c r="B7" s="4"/>
      <c r="C7" s="4"/>
      <c r="D7" s="4"/>
      <c r="E7" s="4"/>
      <c r="F7" s="4"/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  <c r="F8" s="4"/>
    </row>
    <row r="9" customFormat="false" ht="15" hidden="false" customHeight="true" outlineLevel="0" collapsed="false">
      <c r="B9" s="4" t="s">
        <v>7</v>
      </c>
      <c r="C9" s="4"/>
      <c r="D9" s="4"/>
      <c r="E9" s="4"/>
      <c r="F9" s="4"/>
    </row>
    <row r="10" customFormat="false" ht="15" hidden="false" customHeight="true" outlineLevel="0" collapsed="false">
      <c r="B10" s="4" t="s">
        <v>8</v>
      </c>
      <c r="C10" s="4"/>
      <c r="D10" s="4"/>
      <c r="E10" s="4"/>
      <c r="F10" s="4"/>
    </row>
    <row r="11" customFormat="false" ht="15" hidden="false" customHeight="true" outlineLevel="0" collapsed="false">
      <c r="B11" s="4" t="s">
        <v>9</v>
      </c>
      <c r="C11" s="4"/>
      <c r="D11" s="4"/>
      <c r="E11" s="4"/>
      <c r="F11" s="4"/>
    </row>
    <row r="12" customFormat="false" ht="15" hidden="false" customHeight="true" outlineLevel="0" collapsed="false">
      <c r="B12" s="4"/>
      <c r="C12" s="4"/>
      <c r="D12" s="4"/>
      <c r="E12" s="4"/>
      <c r="F12" s="4"/>
    </row>
    <row r="13" customFormat="false" ht="15" hidden="false" customHeight="true" outlineLevel="0" collapsed="false">
      <c r="A13" s="5" t="s">
        <v>10</v>
      </c>
      <c r="B13" s="4" t="s">
        <v>11</v>
      </c>
      <c r="C13" s="4"/>
      <c r="D13" s="4"/>
      <c r="E13" s="4"/>
      <c r="F13" s="4"/>
    </row>
    <row r="14" customFormat="false" ht="15" hidden="false" customHeight="true" outlineLevel="0" collapsed="false">
      <c r="B14" s="4" t="s">
        <v>12</v>
      </c>
      <c r="C14" s="4"/>
      <c r="D14" s="4"/>
      <c r="E14" s="4"/>
      <c r="F14" s="4"/>
    </row>
    <row r="15" customFormat="false" ht="15" hidden="false" customHeight="true" outlineLevel="0" collapsed="false">
      <c r="B15" s="4" t="s">
        <v>13</v>
      </c>
      <c r="C15" s="4"/>
      <c r="D15" s="4"/>
      <c r="E15" s="4"/>
      <c r="F15" s="4"/>
    </row>
    <row r="16" customFormat="false" ht="15" hidden="false" customHeight="true" outlineLevel="0" collapsed="false">
      <c r="B16" s="4" t="s">
        <v>14</v>
      </c>
      <c r="C16" s="4"/>
      <c r="D16" s="4"/>
      <c r="E16" s="4"/>
      <c r="F16" s="4"/>
    </row>
    <row r="17" customFormat="false" ht="15" hidden="false" customHeight="true" outlineLevel="0" collapsed="false">
      <c r="B17" s="4" t="s">
        <v>15</v>
      </c>
      <c r="C17" s="4"/>
      <c r="D17" s="4"/>
      <c r="E17" s="4"/>
      <c r="F17" s="4"/>
    </row>
    <row r="18" customFormat="false" ht="15" hidden="false" customHeight="true" outlineLevel="0" collapsed="false">
      <c r="B18" s="4" t="s">
        <v>16</v>
      </c>
      <c r="C18" s="4"/>
      <c r="D18" s="4"/>
      <c r="E18" s="4"/>
      <c r="F18" s="4"/>
    </row>
    <row r="19" customFormat="false" ht="15" hidden="false" customHeight="true" outlineLevel="0" collapsed="false">
      <c r="B19" s="4" t="s">
        <v>17</v>
      </c>
      <c r="C19" s="4"/>
      <c r="D19" s="4"/>
      <c r="E19" s="4"/>
      <c r="F19" s="4"/>
    </row>
    <row r="20" customFormat="false" ht="15" hidden="false" customHeight="true" outlineLevel="0" collapsed="false">
      <c r="B20" s="4" t="s">
        <v>18</v>
      </c>
      <c r="C20" s="4"/>
      <c r="D20" s="4"/>
      <c r="E20" s="4"/>
      <c r="F20" s="4"/>
    </row>
    <row r="21" customFormat="false" ht="15" hidden="false" customHeight="true" outlineLevel="0" collapsed="false">
      <c r="B21" s="4" t="s">
        <v>19</v>
      </c>
      <c r="C21" s="4"/>
      <c r="D21" s="4"/>
      <c r="E21" s="4"/>
      <c r="F21" s="4"/>
    </row>
    <row r="22" customFormat="false" ht="15" hidden="false" customHeight="true" outlineLevel="0" collapsed="false">
      <c r="B22" s="4"/>
      <c r="C22" s="4"/>
      <c r="D22" s="4"/>
      <c r="E22" s="4"/>
      <c r="F22" s="4"/>
    </row>
    <row r="23" customFormat="false" ht="15" hidden="false" customHeight="true" outlineLevel="0" collapsed="false">
      <c r="A23" s="5" t="s">
        <v>20</v>
      </c>
      <c r="B23" s="4" t="s">
        <v>21</v>
      </c>
      <c r="C23" s="4"/>
      <c r="D23" s="4"/>
      <c r="E23" s="4"/>
      <c r="F23" s="4"/>
    </row>
    <row r="24" customFormat="false" ht="15" hidden="false" customHeight="true" outlineLevel="0" collapsed="false">
      <c r="B24" s="4" t="s">
        <v>22</v>
      </c>
      <c r="C24" s="4"/>
      <c r="D24" s="4"/>
      <c r="E24" s="4"/>
      <c r="F24" s="4"/>
    </row>
    <row r="25" customFormat="false" ht="15" hidden="false" customHeight="true" outlineLevel="0" collapsed="false">
      <c r="B25" s="4"/>
      <c r="C25" s="4"/>
      <c r="D25" s="4"/>
      <c r="E25" s="4"/>
      <c r="F25" s="4"/>
    </row>
    <row r="26" customFormat="false" ht="15" hidden="false" customHeight="true" outlineLevel="0" collapsed="false">
      <c r="A26" s="5" t="s">
        <v>23</v>
      </c>
      <c r="B26" s="4" t="s">
        <v>24</v>
      </c>
      <c r="C26" s="4"/>
      <c r="D26" s="4"/>
      <c r="E26" s="4"/>
      <c r="F26" s="4"/>
    </row>
    <row r="27" customFormat="false" ht="15" hidden="false" customHeight="true" outlineLevel="0" collapsed="false">
      <c r="B27" s="4" t="s">
        <v>25</v>
      </c>
      <c r="C27" s="4"/>
      <c r="D27" s="4"/>
      <c r="E27" s="4"/>
      <c r="F27" s="4"/>
    </row>
    <row r="28" customFormat="false" ht="15" hidden="false" customHeight="true" outlineLevel="0" collapsed="false">
      <c r="B28" s="4" t="s">
        <v>26</v>
      </c>
      <c r="C28" s="4"/>
      <c r="D28" s="4"/>
      <c r="E28" s="4"/>
      <c r="F28" s="4"/>
    </row>
  </sheetData>
  <mergeCells count="2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</cols>
  <sheetData>
    <row r="1" customFormat="false" ht="27.7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28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</row>
    <row r="5" customFormat="false" ht="15" hidden="false" customHeight="true" outlineLevel="0" collapsed="false">
      <c r="A5" s="7" t="s">
        <v>36</v>
      </c>
      <c r="B5" s="7" t="s">
        <v>37</v>
      </c>
      <c r="C5" s="7" t="s">
        <v>38</v>
      </c>
      <c r="D5" s="7" t="s">
        <v>39</v>
      </c>
      <c r="E5" s="8" t="n">
        <v>450</v>
      </c>
      <c r="F5" s="9" t="n">
        <v>46301</v>
      </c>
      <c r="G5" s="7" t="s">
        <v>40</v>
      </c>
    </row>
    <row r="6" customFormat="false" ht="15" hidden="false" customHeight="true" outlineLevel="0" collapsed="false">
      <c r="A6" s="10" t="s">
        <v>41</v>
      </c>
      <c r="B6" s="10" t="s">
        <v>42</v>
      </c>
      <c r="C6" s="10" t="s">
        <v>43</v>
      </c>
      <c r="D6" s="10" t="s">
        <v>44</v>
      </c>
      <c r="E6" s="11" t="n">
        <v>300</v>
      </c>
      <c r="F6" s="12" t="n">
        <v>46301</v>
      </c>
      <c r="G6" s="10" t="s">
        <v>45</v>
      </c>
    </row>
    <row r="7" customFormat="false" ht="15" hidden="false" customHeight="true" outlineLevel="0" collapsed="false">
      <c r="A7" s="7" t="s">
        <v>46</v>
      </c>
      <c r="B7" s="7" t="s">
        <v>47</v>
      </c>
      <c r="C7" s="7" t="s">
        <v>48</v>
      </c>
      <c r="D7" s="7" t="s">
        <v>49</v>
      </c>
      <c r="E7" s="8" t="n">
        <v>600</v>
      </c>
      <c r="F7" s="9" t="n">
        <v>46302</v>
      </c>
      <c r="G7" s="7" t="s">
        <v>40</v>
      </c>
    </row>
    <row r="8" customFormat="false" ht="15" hidden="false" customHeight="true" outlineLevel="0" collapsed="false">
      <c r="A8" s="10" t="s">
        <v>50</v>
      </c>
      <c r="B8" s="10" t="s">
        <v>51</v>
      </c>
      <c r="C8" s="10" t="s">
        <v>52</v>
      </c>
      <c r="D8" s="10" t="s">
        <v>53</v>
      </c>
      <c r="E8" s="11" t="n">
        <v>250</v>
      </c>
      <c r="F8" s="12" t="n">
        <v>46301</v>
      </c>
      <c r="G8" s="10" t="s">
        <v>40</v>
      </c>
    </row>
    <row r="9" customFormat="false" ht="15" hidden="false" customHeight="true" outlineLevel="0" collapsed="false">
      <c r="A9" s="7" t="s">
        <v>54</v>
      </c>
      <c r="B9" s="7" t="s">
        <v>55</v>
      </c>
      <c r="C9" s="7" t="s">
        <v>56</v>
      </c>
      <c r="D9" s="7" t="s">
        <v>39</v>
      </c>
      <c r="E9" s="8" t="n">
        <v>500</v>
      </c>
      <c r="F9" s="9" t="n">
        <v>46303</v>
      </c>
      <c r="G9" s="7" t="s">
        <v>40</v>
      </c>
    </row>
    <row r="10" customFormat="false" ht="15" hidden="false" customHeight="true" outlineLevel="0" collapsed="false">
      <c r="A10" s="10" t="s">
        <v>57</v>
      </c>
      <c r="B10" s="10" t="s">
        <v>58</v>
      </c>
      <c r="C10" s="10" t="s">
        <v>59</v>
      </c>
      <c r="D10" s="10" t="s">
        <v>60</v>
      </c>
      <c r="E10" s="11" t="n">
        <v>200</v>
      </c>
      <c r="F10" s="12" t="n">
        <v>46302</v>
      </c>
      <c r="G10" s="10" t="s">
        <v>45</v>
      </c>
    </row>
    <row r="11" customFormat="false" ht="15" hidden="false" customHeight="true" outlineLevel="0" collapsed="false">
      <c r="A11" s="7" t="s">
        <v>61</v>
      </c>
      <c r="B11" s="7" t="s">
        <v>37</v>
      </c>
      <c r="C11" s="7" t="s">
        <v>62</v>
      </c>
      <c r="D11" s="7" t="s">
        <v>63</v>
      </c>
      <c r="E11" s="8" t="n">
        <v>700</v>
      </c>
      <c r="F11" s="9" t="n">
        <v>46302</v>
      </c>
      <c r="G11" s="7" t="s">
        <v>40</v>
      </c>
    </row>
    <row r="12" customFormat="false" ht="15" hidden="false" customHeight="true" outlineLevel="0" collapsed="false">
      <c r="A12" s="10" t="s">
        <v>64</v>
      </c>
      <c r="B12" s="10" t="s">
        <v>42</v>
      </c>
      <c r="C12" s="10" t="s">
        <v>65</v>
      </c>
      <c r="D12" s="10" t="s">
        <v>44</v>
      </c>
      <c r="E12" s="11" t="n">
        <v>350</v>
      </c>
      <c r="F12" s="12" t="n">
        <v>46303</v>
      </c>
      <c r="G12" s="10" t="s">
        <v>40</v>
      </c>
    </row>
    <row r="13" customFormat="false" ht="15" hidden="false" customHeight="true" outlineLevel="0" collapsed="false">
      <c r="A13" s="7" t="s">
        <v>66</v>
      </c>
      <c r="B13" s="7" t="s">
        <v>47</v>
      </c>
      <c r="C13" s="7" t="s">
        <v>67</v>
      </c>
      <c r="D13" s="7" t="s">
        <v>53</v>
      </c>
      <c r="E13" s="8" t="n">
        <v>400</v>
      </c>
      <c r="F13" s="9" t="n">
        <v>46301</v>
      </c>
      <c r="G13" s="7" t="s">
        <v>40</v>
      </c>
    </row>
    <row r="14" customFormat="false" ht="15" hidden="false" customHeight="true" outlineLevel="0" collapsed="false">
      <c r="A14" s="10" t="s">
        <v>68</v>
      </c>
      <c r="B14" s="10" t="s">
        <v>51</v>
      </c>
      <c r="C14" s="10" t="s">
        <v>69</v>
      </c>
      <c r="D14" s="10" t="s">
        <v>49</v>
      </c>
      <c r="E14" s="11" t="n">
        <v>550</v>
      </c>
      <c r="F14" s="12" t="n">
        <v>46304</v>
      </c>
      <c r="G14" s="10" t="s">
        <v>40</v>
      </c>
    </row>
    <row r="15" customFormat="false" ht="15" hidden="false" customHeight="true" outlineLevel="0" collapsed="false">
      <c r="A15" s="7" t="s">
        <v>70</v>
      </c>
      <c r="B15" s="7" t="s">
        <v>55</v>
      </c>
      <c r="C15" s="7" t="s">
        <v>71</v>
      </c>
      <c r="D15" s="7" t="s">
        <v>39</v>
      </c>
      <c r="E15" s="8" t="n">
        <v>300</v>
      </c>
      <c r="F15" s="9" t="n">
        <v>46302</v>
      </c>
      <c r="G15" s="7" t="s">
        <v>45</v>
      </c>
    </row>
    <row r="16" customFormat="false" ht="15" hidden="false" customHeight="true" outlineLevel="0" collapsed="false">
      <c r="A16" s="10" t="s">
        <v>72</v>
      </c>
      <c r="B16" s="10" t="s">
        <v>58</v>
      </c>
      <c r="C16" s="10" t="s">
        <v>73</v>
      </c>
      <c r="D16" s="10" t="s">
        <v>63</v>
      </c>
      <c r="E16" s="11" t="n">
        <v>450</v>
      </c>
      <c r="F16" s="12" t="n">
        <v>46303</v>
      </c>
      <c r="G16" s="10" t="s">
        <v>40</v>
      </c>
    </row>
    <row r="17" customFormat="false" ht="15" hidden="false" customHeight="true" outlineLevel="0" collapsed="false">
      <c r="A17" s="7" t="s">
        <v>74</v>
      </c>
      <c r="B17" s="7" t="s">
        <v>37</v>
      </c>
      <c r="C17" s="7" t="s">
        <v>75</v>
      </c>
      <c r="D17" s="7" t="s">
        <v>60</v>
      </c>
      <c r="E17" s="8" t="n">
        <v>250</v>
      </c>
      <c r="F17" s="9" t="n">
        <v>46304</v>
      </c>
      <c r="G17" s="7" t="s">
        <v>40</v>
      </c>
    </row>
    <row r="18" customFormat="false" ht="15" hidden="false" customHeight="true" outlineLevel="0" collapsed="false">
      <c r="A18" s="10" t="s">
        <v>76</v>
      </c>
      <c r="B18" s="10" t="s">
        <v>42</v>
      </c>
      <c r="C18" s="10" t="s">
        <v>38</v>
      </c>
      <c r="D18" s="10" t="s">
        <v>39</v>
      </c>
      <c r="E18" s="11" t="n">
        <v>400</v>
      </c>
      <c r="F18" s="12" t="n">
        <v>46302</v>
      </c>
      <c r="G18" s="10" t="s">
        <v>40</v>
      </c>
    </row>
    <row r="19" customFormat="false" ht="15" hidden="false" customHeight="true" outlineLevel="0" collapsed="false">
      <c r="A19" s="7" t="s">
        <v>77</v>
      </c>
      <c r="B19" s="7" t="s">
        <v>47</v>
      </c>
      <c r="C19" s="7" t="s">
        <v>78</v>
      </c>
      <c r="D19" s="7" t="s">
        <v>44</v>
      </c>
      <c r="E19" s="8" t="n">
        <v>500</v>
      </c>
      <c r="F19" s="9" t="n">
        <v>46305</v>
      </c>
      <c r="G19" s="7" t="s">
        <v>40</v>
      </c>
    </row>
    <row r="20" customFormat="false" ht="15" hidden="false" customHeight="true" outlineLevel="0" collapsed="false">
      <c r="A20" s="10" t="s">
        <v>79</v>
      </c>
      <c r="B20" s="10" t="s">
        <v>51</v>
      </c>
      <c r="C20" s="10" t="s">
        <v>80</v>
      </c>
      <c r="D20" s="10" t="s">
        <v>49</v>
      </c>
      <c r="E20" s="11" t="n">
        <v>650</v>
      </c>
      <c r="F20" s="12" t="n">
        <v>46301</v>
      </c>
      <c r="G20" s="10" t="s">
        <v>45</v>
      </c>
    </row>
    <row r="21" customFormat="false" ht="15" hidden="false" customHeight="true" outlineLevel="0" collapsed="false">
      <c r="A21" s="7" t="s">
        <v>81</v>
      </c>
      <c r="B21" s="7" t="s">
        <v>55</v>
      </c>
      <c r="C21" s="7" t="s">
        <v>52</v>
      </c>
      <c r="D21" s="7" t="s">
        <v>53</v>
      </c>
      <c r="E21" s="8" t="n">
        <v>300</v>
      </c>
      <c r="F21" s="9" t="n">
        <v>46305</v>
      </c>
      <c r="G21" s="7" t="s">
        <v>40</v>
      </c>
    </row>
    <row r="22" customFormat="false" ht="15" hidden="false" customHeight="true" outlineLevel="0" collapsed="false">
      <c r="A22" s="10" t="s">
        <v>82</v>
      </c>
      <c r="B22" s="10" t="s">
        <v>58</v>
      </c>
      <c r="C22" s="10" t="s">
        <v>83</v>
      </c>
      <c r="D22" s="10" t="s">
        <v>63</v>
      </c>
      <c r="E22" s="11" t="n">
        <v>500</v>
      </c>
      <c r="F22" s="12" t="n">
        <v>46304</v>
      </c>
      <c r="G22" s="10" t="s">
        <v>40</v>
      </c>
    </row>
    <row r="23" customFormat="false" ht="15" hidden="false" customHeight="true" outlineLevel="0" collapsed="false">
      <c r="A23" s="7" t="s">
        <v>84</v>
      </c>
      <c r="B23" s="7" t="s">
        <v>37</v>
      </c>
      <c r="C23" s="7" t="s">
        <v>85</v>
      </c>
      <c r="D23" s="7" t="s">
        <v>60</v>
      </c>
      <c r="E23" s="8" t="n">
        <v>300</v>
      </c>
      <c r="F23" s="9" t="n">
        <v>46303</v>
      </c>
      <c r="G23" s="7" t="s">
        <v>40</v>
      </c>
    </row>
    <row r="24" customFormat="false" ht="15" hidden="false" customHeight="true" outlineLevel="0" collapsed="false">
      <c r="A24" s="10" t="s">
        <v>86</v>
      </c>
      <c r="B24" s="10" t="s">
        <v>42</v>
      </c>
      <c r="C24" s="10" t="s">
        <v>87</v>
      </c>
      <c r="D24" s="10" t="s">
        <v>39</v>
      </c>
      <c r="E24" s="11" t="n">
        <v>450</v>
      </c>
      <c r="F24" s="12" t="n">
        <v>46305</v>
      </c>
      <c r="G24" s="10" t="s">
        <v>40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10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89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6" t="s">
        <v>90</v>
      </c>
      <c r="B4" s="6" t="s">
        <v>44</v>
      </c>
      <c r="C4" s="6" t="s">
        <v>53</v>
      </c>
      <c r="D4" s="6" t="s">
        <v>39</v>
      </c>
      <c r="E4" s="6" t="s">
        <v>63</v>
      </c>
      <c r="F4" s="6" t="s">
        <v>49</v>
      </c>
      <c r="G4" s="6" t="s">
        <v>60</v>
      </c>
    </row>
    <row r="5" customFormat="false" ht="15" hidden="false" customHeight="true" outlineLevel="0" collapsed="false">
      <c r="A5" s="13" t="s">
        <v>44</v>
      </c>
      <c r="B5" s="14" t="n">
        <v>15</v>
      </c>
      <c r="C5" s="15" t="n">
        <v>30</v>
      </c>
      <c r="D5" s="15" t="n">
        <v>45</v>
      </c>
      <c r="E5" s="15" t="n">
        <v>60</v>
      </c>
      <c r="F5" s="15" t="n">
        <v>75</v>
      </c>
      <c r="G5" s="15" t="n">
        <v>60</v>
      </c>
    </row>
    <row r="6" customFormat="false" ht="15" hidden="false" customHeight="true" outlineLevel="0" collapsed="false">
      <c r="A6" s="13" t="s">
        <v>53</v>
      </c>
      <c r="B6" s="15" t="n">
        <v>60</v>
      </c>
      <c r="C6" s="14" t="n">
        <v>15</v>
      </c>
      <c r="D6" s="15" t="n">
        <v>30</v>
      </c>
      <c r="E6" s="15" t="n">
        <v>45</v>
      </c>
      <c r="F6" s="15" t="n">
        <v>60</v>
      </c>
      <c r="G6" s="15" t="n">
        <v>45</v>
      </c>
    </row>
    <row r="7" customFormat="false" ht="15" hidden="false" customHeight="true" outlineLevel="0" collapsed="false">
      <c r="A7" s="13" t="s">
        <v>39</v>
      </c>
      <c r="B7" s="15" t="n">
        <v>75</v>
      </c>
      <c r="C7" s="15" t="n">
        <v>60</v>
      </c>
      <c r="D7" s="14" t="n">
        <v>15</v>
      </c>
      <c r="E7" s="15" t="n">
        <v>30</v>
      </c>
      <c r="F7" s="15" t="n">
        <v>45</v>
      </c>
      <c r="G7" s="15" t="n">
        <v>30</v>
      </c>
    </row>
    <row r="8" customFormat="false" ht="15" hidden="false" customHeight="true" outlineLevel="0" collapsed="false">
      <c r="A8" s="13" t="s">
        <v>63</v>
      </c>
      <c r="B8" s="15" t="n">
        <v>90</v>
      </c>
      <c r="C8" s="15" t="n">
        <v>75</v>
      </c>
      <c r="D8" s="15" t="n">
        <v>60</v>
      </c>
      <c r="E8" s="14" t="n">
        <v>15</v>
      </c>
      <c r="F8" s="15" t="n">
        <v>30</v>
      </c>
      <c r="G8" s="15" t="n">
        <v>45</v>
      </c>
    </row>
    <row r="9" customFormat="false" ht="15" hidden="false" customHeight="true" outlineLevel="0" collapsed="false">
      <c r="A9" s="13" t="s">
        <v>49</v>
      </c>
      <c r="B9" s="15" t="n">
        <v>105</v>
      </c>
      <c r="C9" s="15" t="n">
        <v>90</v>
      </c>
      <c r="D9" s="15" t="n">
        <v>75</v>
      </c>
      <c r="E9" s="15" t="n">
        <v>60</v>
      </c>
      <c r="F9" s="14" t="n">
        <v>15</v>
      </c>
      <c r="G9" s="15" t="n">
        <v>60</v>
      </c>
    </row>
    <row r="10" customFormat="false" ht="15" hidden="false" customHeight="true" outlineLevel="0" collapsed="false">
      <c r="A10" s="13" t="s">
        <v>60</v>
      </c>
      <c r="B10" s="15" t="n">
        <v>90</v>
      </c>
      <c r="C10" s="15" t="n">
        <v>75</v>
      </c>
      <c r="D10" s="15" t="n">
        <v>60</v>
      </c>
      <c r="E10" s="15" t="n">
        <v>45</v>
      </c>
      <c r="F10" s="15" t="n">
        <v>60</v>
      </c>
      <c r="G10" s="14" t="n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4" min="3" style="1" width="20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10" min="8" style="1" width="10"/>
    <col collapsed="false" customWidth="true" hidden="false" outlineLevel="0" max="11" min="11" style="1" width="12"/>
    <col collapsed="false" customWidth="true" hidden="false" outlineLevel="0" max="13" min="12" style="1" width="8"/>
    <col collapsed="false" customWidth="true" hidden="false" outlineLevel="0" max="14" min="14" style="1" width="9"/>
    <col collapsed="false" customWidth="true" hidden="false" outlineLevel="0" max="16" min="16" style="1" width="22"/>
    <col collapsed="false" customWidth="true" hidden="false" outlineLevel="0" max="17" min="17" style="1" width="10"/>
  </cols>
  <sheetData>
    <row r="1" customFormat="false" ht="27.75" hidden="false" customHeight="true" outlineLevel="0" collapsed="false">
      <c r="A1" s="2" t="s">
        <v>91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92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16" t="s">
        <v>93</v>
      </c>
      <c r="B4" s="16" t="s">
        <v>29</v>
      </c>
      <c r="C4" s="16" t="s">
        <v>30</v>
      </c>
      <c r="D4" s="16" t="s">
        <v>31</v>
      </c>
      <c r="E4" s="16" t="s">
        <v>94</v>
      </c>
      <c r="F4" s="16" t="s">
        <v>95</v>
      </c>
      <c r="G4" s="16" t="s">
        <v>96</v>
      </c>
      <c r="H4" s="16" t="s">
        <v>35</v>
      </c>
      <c r="I4" s="16" t="s">
        <v>97</v>
      </c>
      <c r="J4" s="16" t="s">
        <v>98</v>
      </c>
      <c r="K4" s="16" t="s">
        <v>99</v>
      </c>
      <c r="L4" s="16" t="s">
        <v>100</v>
      </c>
      <c r="M4" s="16" t="s">
        <v>101</v>
      </c>
      <c r="N4" s="16" t="s">
        <v>102</v>
      </c>
      <c r="P4" s="5" t="s">
        <v>20</v>
      </c>
    </row>
    <row r="5" customFormat="false" ht="15" hidden="false" customHeight="true" outlineLevel="0" collapsed="false">
      <c r="A5" s="17" t="n">
        <v>1</v>
      </c>
      <c r="B5" s="18" t="s">
        <v>36</v>
      </c>
      <c r="C5" s="17" t="str">
        <f aca="false">INDEX(Order_Data!$B$5:$B$24,MATCH($B5,Order_Data!$A$5:$A$24,0))</f>
        <v>Sunrise FlexiPack</v>
      </c>
      <c r="D5" s="17" t="str">
        <f aca="false">INDEX(Order_Data!$C$5:$C$24,MATCH($B5,Order_Data!$A$5:$A$24,0))</f>
        <v>Flexo Ink - Cyan</v>
      </c>
      <c r="E5" s="17" t="str">
        <f aca="false">INDEX(Order_Data!$D$5:$D$24,MATCH($B5,Order_Data!$A$5:$A$24,0))</f>
        <v>Medium</v>
      </c>
      <c r="F5" s="19" t="n">
        <f aca="false">INDEX(Order_Data!$E$5:$E$24,MATCH($B5,Order_Data!$A$5:$A$24,0))</f>
        <v>450</v>
      </c>
      <c r="G5" s="20" t="n">
        <f aca="false">INDEX(Order_Data!$F$5:$F$24,MATCH($B5,Order_Data!$A$5:$A$24,0))</f>
        <v>46301</v>
      </c>
      <c r="H5" s="17" t="str">
        <f aca="false">INDEX(Order_Data!$G$5:$G$24,MATCH($B5,Order_Data!$A$5:$A$24,0))</f>
        <v>Standard</v>
      </c>
      <c r="I5" s="17" t="s">
        <v>103</v>
      </c>
      <c r="J5" s="21" t="n">
        <f aca="false">F5/$Q$5</f>
        <v>56.25</v>
      </c>
      <c r="K5" s="21" t="n">
        <f aca="false">I5+J5</f>
        <v>56.25</v>
      </c>
      <c r="L5" s="17" t="n">
        <f aca="false">G5-$Q$7+1</f>
        <v>1</v>
      </c>
      <c r="M5" s="17" t="n">
        <f aca="false">CEILING(K5/$Q$6,1)</f>
        <v>1</v>
      </c>
      <c r="N5" s="22" t="str">
        <f aca="false">IF(M5&lt;=L5,"On Time","Late")</f>
        <v>On Time</v>
      </c>
      <c r="P5" s="23" t="s">
        <v>104</v>
      </c>
      <c r="Q5" s="24" t="n">
        <v>8</v>
      </c>
    </row>
    <row r="6" customFormat="false" ht="15" hidden="false" customHeight="true" outlineLevel="0" collapsed="false">
      <c r="A6" s="25" t="n">
        <v>2</v>
      </c>
      <c r="B6" s="26" t="s">
        <v>41</v>
      </c>
      <c r="C6" s="25" t="str">
        <f aca="false">INDEX(Order_Data!$B$5:$B$24,MATCH($B6,Order_Data!$A$5:$A$24,0))</f>
        <v>Apex Labels</v>
      </c>
      <c r="D6" s="25" t="str">
        <f aca="false">INDEX(Order_Data!$C$5:$C$24,MATCH($B6,Order_Data!$A$5:$A$24,0))</f>
        <v>UV Ink - White</v>
      </c>
      <c r="E6" s="25" t="str">
        <f aca="false">INDEX(Order_Data!$D$5:$D$24,MATCH($B6,Order_Data!$A$5:$A$24,0))</f>
        <v>White</v>
      </c>
      <c r="F6" s="27" t="n">
        <f aca="false">INDEX(Order_Data!$E$5:$E$24,MATCH($B6,Order_Data!$A$5:$A$24,0))</f>
        <v>300</v>
      </c>
      <c r="G6" s="28" t="n">
        <f aca="false">INDEX(Order_Data!$F$5:$F$24,MATCH($B6,Order_Data!$A$5:$A$24,0))</f>
        <v>46301</v>
      </c>
      <c r="H6" s="25" t="str">
        <f aca="false">INDEX(Order_Data!$G$5:$G$24,MATCH($B6,Order_Data!$A$5:$A$24,0))</f>
        <v>Rush</v>
      </c>
      <c r="I6" s="25" t="n">
        <f aca="false">INDEX(Changeover_Matrix!$B$5:$G$10,MATCH(E5,Changeover_Matrix!$A$5:$A$10,0),MATCH(E6,Changeover_Matrix!$B$4:$G$4,0))</f>
        <v>75</v>
      </c>
      <c r="J6" s="29" t="n">
        <f aca="false">F6/$Q$5</f>
        <v>37.5</v>
      </c>
      <c r="K6" s="29" t="n">
        <f aca="false">K5+I6+J6</f>
        <v>168.75</v>
      </c>
      <c r="L6" s="25" t="n">
        <f aca="false">G6-$Q$7+1</f>
        <v>1</v>
      </c>
      <c r="M6" s="25" t="n">
        <f aca="false">CEILING(K6/$Q$6,1)</f>
        <v>1</v>
      </c>
      <c r="N6" s="30" t="str">
        <f aca="false">IF(M6&lt;=L6,"On Time","Late")</f>
        <v>On Time</v>
      </c>
      <c r="P6" s="23" t="s">
        <v>105</v>
      </c>
      <c r="Q6" s="24" t="n">
        <v>960</v>
      </c>
    </row>
    <row r="7" customFormat="false" ht="15" hidden="false" customHeight="true" outlineLevel="0" collapsed="false">
      <c r="A7" s="17" t="n">
        <v>3</v>
      </c>
      <c r="B7" s="18" t="s">
        <v>50</v>
      </c>
      <c r="C7" s="17" t="str">
        <f aca="false">INDEX(Order_Data!$B$5:$B$24,MATCH($B7,Order_Data!$A$5:$A$24,0))</f>
        <v>Trident Packaging</v>
      </c>
      <c r="D7" s="17" t="str">
        <f aca="false">INDEX(Order_Data!$C$5:$C$24,MATCH($B7,Order_Data!$A$5:$A$24,0))</f>
        <v>Flexo Ink - Yellow</v>
      </c>
      <c r="E7" s="17" t="str">
        <f aca="false">INDEX(Order_Data!$D$5:$D$24,MATCH($B7,Order_Data!$A$5:$A$24,0))</f>
        <v>Light</v>
      </c>
      <c r="F7" s="19" t="n">
        <f aca="false">INDEX(Order_Data!$E$5:$E$24,MATCH($B7,Order_Data!$A$5:$A$24,0))</f>
        <v>250</v>
      </c>
      <c r="G7" s="20" t="n">
        <f aca="false">INDEX(Order_Data!$F$5:$F$24,MATCH($B7,Order_Data!$A$5:$A$24,0))</f>
        <v>46301</v>
      </c>
      <c r="H7" s="17" t="str">
        <f aca="false">INDEX(Order_Data!$G$5:$G$24,MATCH($B7,Order_Data!$A$5:$A$24,0))</f>
        <v>Standard</v>
      </c>
      <c r="I7" s="17" t="n">
        <f aca="false">INDEX(Changeover_Matrix!$B$5:$G$10,MATCH(E6,Changeover_Matrix!$A$5:$A$10,0),MATCH(E7,Changeover_Matrix!$B$4:$G$4,0))</f>
        <v>30</v>
      </c>
      <c r="J7" s="21" t="n">
        <f aca="false">F7/$Q$5</f>
        <v>31.25</v>
      </c>
      <c r="K7" s="21" t="n">
        <f aca="false">K6+I7+J7</f>
        <v>230</v>
      </c>
      <c r="L7" s="17" t="n">
        <f aca="false">G7-$Q$7+1</f>
        <v>1</v>
      </c>
      <c r="M7" s="17" t="n">
        <f aca="false">CEILING(K7/$Q$6,1)</f>
        <v>1</v>
      </c>
      <c r="N7" s="22" t="str">
        <f aca="false">IF(M7&lt;=L7,"On Time","Late")</f>
        <v>On Time</v>
      </c>
      <c r="P7" s="23" t="s">
        <v>106</v>
      </c>
      <c r="Q7" s="31" t="n">
        <v>46301</v>
      </c>
    </row>
    <row r="8" customFormat="false" ht="15" hidden="false" customHeight="true" outlineLevel="0" collapsed="false">
      <c r="A8" s="25" t="n">
        <v>4</v>
      </c>
      <c r="B8" s="26" t="s">
        <v>66</v>
      </c>
      <c r="C8" s="25" t="str">
        <f aca="false">INDEX(Order_Data!$B$5:$B$24,MATCH($B8,Order_Data!$A$5:$A$24,0))</f>
        <v>NorthStar Converters</v>
      </c>
      <c r="D8" s="25" t="str">
        <f aca="false">INDEX(Order_Data!$C$5:$C$24,MATCH($B8,Order_Data!$A$5:$A$24,0))</f>
        <v>Flexo Ink - Orange</v>
      </c>
      <c r="E8" s="25" t="str">
        <f aca="false">INDEX(Order_Data!$D$5:$D$24,MATCH($B8,Order_Data!$A$5:$A$24,0))</f>
        <v>Light</v>
      </c>
      <c r="F8" s="27" t="n">
        <f aca="false">INDEX(Order_Data!$E$5:$E$24,MATCH($B8,Order_Data!$A$5:$A$24,0))</f>
        <v>400</v>
      </c>
      <c r="G8" s="28" t="n">
        <f aca="false">INDEX(Order_Data!$F$5:$F$24,MATCH($B8,Order_Data!$A$5:$A$24,0))</f>
        <v>46301</v>
      </c>
      <c r="H8" s="25" t="str">
        <f aca="false">INDEX(Order_Data!$G$5:$G$24,MATCH($B8,Order_Data!$A$5:$A$24,0))</f>
        <v>Standard</v>
      </c>
      <c r="I8" s="25" t="n">
        <f aca="false">INDEX(Changeover_Matrix!$B$5:$G$10,MATCH(E7,Changeover_Matrix!$A$5:$A$10,0),MATCH(E8,Changeover_Matrix!$B$4:$G$4,0))</f>
        <v>15</v>
      </c>
      <c r="J8" s="29" t="n">
        <f aca="false">F8/$Q$5</f>
        <v>50</v>
      </c>
      <c r="K8" s="29" t="n">
        <f aca="false">K7+I8+J8</f>
        <v>295</v>
      </c>
      <c r="L8" s="25" t="n">
        <f aca="false">G8-$Q$7+1</f>
        <v>1</v>
      </c>
      <c r="M8" s="25" t="n">
        <f aca="false">CEILING(K8/$Q$6,1)</f>
        <v>1</v>
      </c>
      <c r="N8" s="30" t="str">
        <f aca="false">IF(M8&lt;=L8,"On Time","Late")</f>
        <v>On Time</v>
      </c>
    </row>
    <row r="9" customFormat="false" ht="15" hidden="false" customHeight="true" outlineLevel="0" collapsed="false">
      <c r="A9" s="17" t="n">
        <v>5</v>
      </c>
      <c r="B9" s="18" t="s">
        <v>79</v>
      </c>
      <c r="C9" s="17" t="str">
        <f aca="false">INDEX(Order_Data!$B$5:$B$24,MATCH($B9,Order_Data!$A$5:$A$24,0))</f>
        <v>Trident Packaging</v>
      </c>
      <c r="D9" s="17" t="str">
        <f aca="false">INDEX(Order_Data!$C$5:$C$24,MATCH($B9,Order_Data!$A$5:$A$24,0))</f>
        <v>UV Ink - Black</v>
      </c>
      <c r="E9" s="17" t="str">
        <f aca="false">INDEX(Order_Data!$D$5:$D$24,MATCH($B9,Order_Data!$A$5:$A$24,0))</f>
        <v>Black</v>
      </c>
      <c r="F9" s="19" t="n">
        <f aca="false">INDEX(Order_Data!$E$5:$E$24,MATCH($B9,Order_Data!$A$5:$A$24,0))</f>
        <v>650</v>
      </c>
      <c r="G9" s="20" t="n">
        <f aca="false">INDEX(Order_Data!$F$5:$F$24,MATCH($B9,Order_Data!$A$5:$A$24,0))</f>
        <v>46301</v>
      </c>
      <c r="H9" s="17" t="str">
        <f aca="false">INDEX(Order_Data!$G$5:$G$24,MATCH($B9,Order_Data!$A$5:$A$24,0))</f>
        <v>Rush</v>
      </c>
      <c r="I9" s="17" t="n">
        <f aca="false">INDEX(Changeover_Matrix!$B$5:$G$10,MATCH(E8,Changeover_Matrix!$A$5:$A$10,0),MATCH(E9,Changeover_Matrix!$B$4:$G$4,0))</f>
        <v>60</v>
      </c>
      <c r="J9" s="21" t="n">
        <f aca="false">F9/$Q$5</f>
        <v>81.25</v>
      </c>
      <c r="K9" s="21" t="n">
        <f aca="false">K8+I9+J9</f>
        <v>436.25</v>
      </c>
      <c r="L9" s="17" t="n">
        <f aca="false">G9-$Q$7+1</f>
        <v>1</v>
      </c>
      <c r="M9" s="17" t="n">
        <f aca="false">CEILING(K9/$Q$6,1)</f>
        <v>1</v>
      </c>
      <c r="N9" s="22" t="str">
        <f aca="false">IF(M9&lt;=L9,"On Time","Late")</f>
        <v>On Time</v>
      </c>
    </row>
    <row r="10" customFormat="false" ht="15" hidden="false" customHeight="true" outlineLevel="0" collapsed="false">
      <c r="A10" s="25" t="n">
        <v>6</v>
      </c>
      <c r="B10" s="26" t="s">
        <v>46</v>
      </c>
      <c r="C10" s="25" t="str">
        <f aca="false">INDEX(Order_Data!$B$5:$B$24,MATCH($B10,Order_Data!$A$5:$A$24,0))</f>
        <v>NorthStar Converters</v>
      </c>
      <c r="D10" s="25" t="str">
        <f aca="false">INDEX(Order_Data!$C$5:$C$24,MATCH($B10,Order_Data!$A$5:$A$24,0))</f>
        <v>Solvent Ink - Black</v>
      </c>
      <c r="E10" s="25" t="str">
        <f aca="false">INDEX(Order_Data!$D$5:$D$24,MATCH($B10,Order_Data!$A$5:$A$24,0))</f>
        <v>Black</v>
      </c>
      <c r="F10" s="27" t="n">
        <f aca="false">INDEX(Order_Data!$E$5:$E$24,MATCH($B10,Order_Data!$A$5:$A$24,0))</f>
        <v>600</v>
      </c>
      <c r="G10" s="28" t="n">
        <f aca="false">INDEX(Order_Data!$F$5:$F$24,MATCH($B10,Order_Data!$A$5:$A$24,0))</f>
        <v>46302</v>
      </c>
      <c r="H10" s="25" t="str">
        <f aca="false">INDEX(Order_Data!$G$5:$G$24,MATCH($B10,Order_Data!$A$5:$A$24,0))</f>
        <v>Standard</v>
      </c>
      <c r="I10" s="25" t="n">
        <f aca="false">INDEX(Changeover_Matrix!$B$5:$G$10,MATCH(E9,Changeover_Matrix!$A$5:$A$10,0),MATCH(E10,Changeover_Matrix!$B$4:$G$4,0))</f>
        <v>15</v>
      </c>
      <c r="J10" s="29" t="n">
        <f aca="false">F10/$Q$5</f>
        <v>75</v>
      </c>
      <c r="K10" s="29" t="n">
        <f aca="false">K9+I10+J10</f>
        <v>526.25</v>
      </c>
      <c r="L10" s="25" t="n">
        <f aca="false">G10-$Q$7+1</f>
        <v>2</v>
      </c>
      <c r="M10" s="25" t="n">
        <f aca="false">CEILING(K10/$Q$6,1)</f>
        <v>1</v>
      </c>
      <c r="N10" s="30" t="str">
        <f aca="false">IF(M10&lt;=L10,"On Time","Late")</f>
        <v>On Time</v>
      </c>
    </row>
    <row r="11" customFormat="false" ht="15" hidden="false" customHeight="true" outlineLevel="0" collapsed="false">
      <c r="A11" s="17" t="n">
        <v>7</v>
      </c>
      <c r="B11" s="18" t="s">
        <v>57</v>
      </c>
      <c r="C11" s="17" t="str">
        <f aca="false">INDEX(Order_Data!$B$5:$B$24,MATCH($B11,Order_Data!$A$5:$A$24,0))</f>
        <v>Om Flexibles</v>
      </c>
      <c r="D11" s="17" t="str">
        <f aca="false">INDEX(Order_Data!$C$5:$C$24,MATCH($B11,Order_Data!$A$5:$A$24,0))</f>
        <v>UV Ink - Silver</v>
      </c>
      <c r="E11" s="17" t="str">
        <f aca="false">INDEX(Order_Data!$D$5:$D$24,MATCH($B11,Order_Data!$A$5:$A$24,0))</f>
        <v>Metallic</v>
      </c>
      <c r="F11" s="19" t="n">
        <f aca="false">INDEX(Order_Data!$E$5:$E$24,MATCH($B11,Order_Data!$A$5:$A$24,0))</f>
        <v>200</v>
      </c>
      <c r="G11" s="20" t="n">
        <f aca="false">INDEX(Order_Data!$F$5:$F$24,MATCH($B11,Order_Data!$A$5:$A$24,0))</f>
        <v>46302</v>
      </c>
      <c r="H11" s="17" t="str">
        <f aca="false">INDEX(Order_Data!$G$5:$G$24,MATCH($B11,Order_Data!$A$5:$A$24,0))</f>
        <v>Rush</v>
      </c>
      <c r="I11" s="17" t="n">
        <f aca="false">INDEX(Changeover_Matrix!$B$5:$G$10,MATCH(E10,Changeover_Matrix!$A$5:$A$10,0),MATCH(E11,Changeover_Matrix!$B$4:$G$4,0))</f>
        <v>60</v>
      </c>
      <c r="J11" s="21" t="n">
        <f aca="false">F11/$Q$5</f>
        <v>25</v>
      </c>
      <c r="K11" s="21" t="n">
        <f aca="false">K10+I11+J11</f>
        <v>611.25</v>
      </c>
      <c r="L11" s="17" t="n">
        <f aca="false">G11-$Q$7+1</f>
        <v>2</v>
      </c>
      <c r="M11" s="17" t="n">
        <f aca="false">CEILING(K11/$Q$6,1)</f>
        <v>1</v>
      </c>
      <c r="N11" s="22" t="str">
        <f aca="false">IF(M11&lt;=L11,"On Time","Late")</f>
        <v>On Time</v>
      </c>
    </row>
    <row r="12" customFormat="false" ht="15" hidden="false" customHeight="true" outlineLevel="0" collapsed="false">
      <c r="A12" s="25" t="n">
        <v>8</v>
      </c>
      <c r="B12" s="26" t="s">
        <v>61</v>
      </c>
      <c r="C12" s="25" t="str">
        <f aca="false">INDEX(Order_Data!$B$5:$B$24,MATCH($B12,Order_Data!$A$5:$A$24,0))</f>
        <v>Sunrise FlexiPack</v>
      </c>
      <c r="D12" s="25" t="str">
        <f aca="false">INDEX(Order_Data!$C$5:$C$24,MATCH($B12,Order_Data!$A$5:$A$24,0))</f>
        <v>Flexo Ink - Deep Blue</v>
      </c>
      <c r="E12" s="25" t="str">
        <f aca="false">INDEX(Order_Data!$D$5:$D$24,MATCH($B12,Order_Data!$A$5:$A$24,0))</f>
        <v>Dark</v>
      </c>
      <c r="F12" s="27" t="n">
        <f aca="false">INDEX(Order_Data!$E$5:$E$24,MATCH($B12,Order_Data!$A$5:$A$24,0))</f>
        <v>700</v>
      </c>
      <c r="G12" s="28" t="n">
        <f aca="false">INDEX(Order_Data!$F$5:$F$24,MATCH($B12,Order_Data!$A$5:$A$24,0))</f>
        <v>46302</v>
      </c>
      <c r="H12" s="25" t="str">
        <f aca="false">INDEX(Order_Data!$G$5:$G$24,MATCH($B12,Order_Data!$A$5:$A$24,0))</f>
        <v>Standard</v>
      </c>
      <c r="I12" s="25" t="n">
        <f aca="false">INDEX(Changeover_Matrix!$B$5:$G$10,MATCH(E11,Changeover_Matrix!$A$5:$A$10,0),MATCH(E12,Changeover_Matrix!$B$4:$G$4,0))</f>
        <v>45</v>
      </c>
      <c r="J12" s="29" t="n">
        <f aca="false">F12/$Q$5</f>
        <v>87.5</v>
      </c>
      <c r="K12" s="29" t="n">
        <f aca="false">K11+I12+J12</f>
        <v>743.75</v>
      </c>
      <c r="L12" s="25" t="n">
        <f aca="false">G12-$Q$7+1</f>
        <v>2</v>
      </c>
      <c r="M12" s="25" t="n">
        <f aca="false">CEILING(K12/$Q$6,1)</f>
        <v>1</v>
      </c>
      <c r="N12" s="30" t="str">
        <f aca="false">IF(M12&lt;=L12,"On Time","Late")</f>
        <v>On Time</v>
      </c>
    </row>
    <row r="13" customFormat="false" ht="15" hidden="false" customHeight="true" outlineLevel="0" collapsed="false">
      <c r="A13" s="17" t="n">
        <v>9</v>
      </c>
      <c r="B13" s="18" t="s">
        <v>70</v>
      </c>
      <c r="C13" s="17" t="str">
        <f aca="false">INDEX(Order_Data!$B$5:$B$24,MATCH($B13,Order_Data!$A$5:$A$24,0))</f>
        <v>Kavya Print Solutions</v>
      </c>
      <c r="D13" s="17" t="str">
        <f aca="false">INDEX(Order_Data!$C$5:$C$24,MATCH($B13,Order_Data!$A$5:$A$24,0))</f>
        <v>UV Ink - Green</v>
      </c>
      <c r="E13" s="17" t="str">
        <f aca="false">INDEX(Order_Data!$D$5:$D$24,MATCH($B13,Order_Data!$A$5:$A$24,0))</f>
        <v>Medium</v>
      </c>
      <c r="F13" s="19" t="n">
        <f aca="false">INDEX(Order_Data!$E$5:$E$24,MATCH($B13,Order_Data!$A$5:$A$24,0))</f>
        <v>300</v>
      </c>
      <c r="G13" s="20" t="n">
        <f aca="false">INDEX(Order_Data!$F$5:$F$24,MATCH($B13,Order_Data!$A$5:$A$24,0))</f>
        <v>46302</v>
      </c>
      <c r="H13" s="17" t="str">
        <f aca="false">INDEX(Order_Data!$G$5:$G$24,MATCH($B13,Order_Data!$A$5:$A$24,0))</f>
        <v>Rush</v>
      </c>
      <c r="I13" s="17" t="n">
        <f aca="false">INDEX(Changeover_Matrix!$B$5:$G$10,MATCH(E12,Changeover_Matrix!$A$5:$A$10,0),MATCH(E13,Changeover_Matrix!$B$4:$G$4,0))</f>
        <v>60</v>
      </c>
      <c r="J13" s="21" t="n">
        <f aca="false">F13/$Q$5</f>
        <v>37.5</v>
      </c>
      <c r="K13" s="21" t="n">
        <f aca="false">K12+I13+J13</f>
        <v>841.25</v>
      </c>
      <c r="L13" s="17" t="n">
        <f aca="false">G13-$Q$7+1</f>
        <v>2</v>
      </c>
      <c r="M13" s="17" t="n">
        <f aca="false">CEILING(K13/$Q$6,1)</f>
        <v>1</v>
      </c>
      <c r="N13" s="22" t="str">
        <f aca="false">IF(M13&lt;=L13,"On Time","Late")</f>
        <v>On Time</v>
      </c>
    </row>
    <row r="14" customFormat="false" ht="15" hidden="false" customHeight="true" outlineLevel="0" collapsed="false">
      <c r="A14" s="25" t="n">
        <v>10</v>
      </c>
      <c r="B14" s="26" t="s">
        <v>76</v>
      </c>
      <c r="C14" s="25" t="str">
        <f aca="false">INDEX(Order_Data!$B$5:$B$24,MATCH($B14,Order_Data!$A$5:$A$24,0))</f>
        <v>Apex Labels</v>
      </c>
      <c r="D14" s="25" t="str">
        <f aca="false">INDEX(Order_Data!$C$5:$C$24,MATCH($B14,Order_Data!$A$5:$A$24,0))</f>
        <v>Flexo Ink - Cyan</v>
      </c>
      <c r="E14" s="25" t="str">
        <f aca="false">INDEX(Order_Data!$D$5:$D$24,MATCH($B14,Order_Data!$A$5:$A$24,0))</f>
        <v>Medium</v>
      </c>
      <c r="F14" s="27" t="n">
        <f aca="false">INDEX(Order_Data!$E$5:$E$24,MATCH($B14,Order_Data!$A$5:$A$24,0))</f>
        <v>400</v>
      </c>
      <c r="G14" s="28" t="n">
        <f aca="false">INDEX(Order_Data!$F$5:$F$24,MATCH($B14,Order_Data!$A$5:$A$24,0))</f>
        <v>46302</v>
      </c>
      <c r="H14" s="25" t="str">
        <f aca="false">INDEX(Order_Data!$G$5:$G$24,MATCH($B14,Order_Data!$A$5:$A$24,0))</f>
        <v>Standard</v>
      </c>
      <c r="I14" s="25" t="n">
        <f aca="false">INDEX(Changeover_Matrix!$B$5:$G$10,MATCH(E13,Changeover_Matrix!$A$5:$A$10,0),MATCH(E14,Changeover_Matrix!$B$4:$G$4,0))</f>
        <v>15</v>
      </c>
      <c r="J14" s="29" t="n">
        <f aca="false">F14/$Q$5</f>
        <v>50</v>
      </c>
      <c r="K14" s="29" t="n">
        <f aca="false">K13+I14+J14</f>
        <v>906.25</v>
      </c>
      <c r="L14" s="25" t="n">
        <f aca="false">G14-$Q$7+1</f>
        <v>2</v>
      </c>
      <c r="M14" s="25" t="n">
        <f aca="false">CEILING(K14/$Q$6,1)</f>
        <v>1</v>
      </c>
      <c r="N14" s="30" t="str">
        <f aca="false">IF(M14&lt;=L14,"On Time","Late")</f>
        <v>On Time</v>
      </c>
    </row>
    <row r="15" customFormat="false" ht="15" hidden="false" customHeight="true" outlineLevel="0" collapsed="false">
      <c r="A15" s="17" t="n">
        <v>11</v>
      </c>
      <c r="B15" s="18" t="s">
        <v>54</v>
      </c>
      <c r="C15" s="17" t="str">
        <f aca="false">INDEX(Order_Data!$B$5:$B$24,MATCH($B15,Order_Data!$A$5:$A$24,0))</f>
        <v>Kavya Print Solutions</v>
      </c>
      <c r="D15" s="17" t="str">
        <f aca="false">INDEX(Order_Data!$C$5:$C$24,MATCH($B15,Order_Data!$A$5:$A$24,0))</f>
        <v>Gravure Ink - Magenta</v>
      </c>
      <c r="E15" s="17" t="str">
        <f aca="false">INDEX(Order_Data!$D$5:$D$24,MATCH($B15,Order_Data!$A$5:$A$24,0))</f>
        <v>Medium</v>
      </c>
      <c r="F15" s="19" t="n">
        <f aca="false">INDEX(Order_Data!$E$5:$E$24,MATCH($B15,Order_Data!$A$5:$A$24,0))</f>
        <v>500</v>
      </c>
      <c r="G15" s="20" t="n">
        <f aca="false">INDEX(Order_Data!$F$5:$F$24,MATCH($B15,Order_Data!$A$5:$A$24,0))</f>
        <v>46303</v>
      </c>
      <c r="H15" s="17" t="str">
        <f aca="false">INDEX(Order_Data!$G$5:$G$24,MATCH($B15,Order_Data!$A$5:$A$24,0))</f>
        <v>Standard</v>
      </c>
      <c r="I15" s="17" t="n">
        <f aca="false">INDEX(Changeover_Matrix!$B$5:$G$10,MATCH(E14,Changeover_Matrix!$A$5:$A$10,0),MATCH(E15,Changeover_Matrix!$B$4:$G$4,0))</f>
        <v>15</v>
      </c>
      <c r="J15" s="21" t="n">
        <f aca="false">F15/$Q$5</f>
        <v>62.5</v>
      </c>
      <c r="K15" s="21" t="n">
        <f aca="false">K14+I15+J15</f>
        <v>983.75</v>
      </c>
      <c r="L15" s="17" t="n">
        <f aca="false">G15-$Q$7+1</f>
        <v>3</v>
      </c>
      <c r="M15" s="17" t="n">
        <f aca="false">CEILING(K15/$Q$6,1)</f>
        <v>2</v>
      </c>
      <c r="N15" s="22" t="str">
        <f aca="false">IF(M15&lt;=L15,"On Time","Late")</f>
        <v>On Time</v>
      </c>
    </row>
    <row r="16" customFormat="false" ht="15" hidden="false" customHeight="true" outlineLevel="0" collapsed="false">
      <c r="A16" s="25" t="n">
        <v>12</v>
      </c>
      <c r="B16" s="26" t="s">
        <v>64</v>
      </c>
      <c r="C16" s="25" t="str">
        <f aca="false">INDEX(Order_Data!$B$5:$B$24,MATCH($B16,Order_Data!$A$5:$A$24,0))</f>
        <v>Apex Labels</v>
      </c>
      <c r="D16" s="25" t="str">
        <f aca="false">INDEX(Order_Data!$C$5:$C$24,MATCH($B16,Order_Data!$A$5:$A$24,0))</f>
        <v>Solvent Ink - White</v>
      </c>
      <c r="E16" s="25" t="str">
        <f aca="false">INDEX(Order_Data!$D$5:$D$24,MATCH($B16,Order_Data!$A$5:$A$24,0))</f>
        <v>White</v>
      </c>
      <c r="F16" s="27" t="n">
        <f aca="false">INDEX(Order_Data!$E$5:$E$24,MATCH($B16,Order_Data!$A$5:$A$24,0))</f>
        <v>350</v>
      </c>
      <c r="G16" s="28" t="n">
        <f aca="false">INDEX(Order_Data!$F$5:$F$24,MATCH($B16,Order_Data!$A$5:$A$24,0))</f>
        <v>46303</v>
      </c>
      <c r="H16" s="25" t="str">
        <f aca="false">INDEX(Order_Data!$G$5:$G$24,MATCH($B16,Order_Data!$A$5:$A$24,0))</f>
        <v>Standard</v>
      </c>
      <c r="I16" s="25" t="n">
        <f aca="false">INDEX(Changeover_Matrix!$B$5:$G$10,MATCH(E15,Changeover_Matrix!$A$5:$A$10,0),MATCH(E16,Changeover_Matrix!$B$4:$G$4,0))</f>
        <v>75</v>
      </c>
      <c r="J16" s="29" t="n">
        <f aca="false">F16/$Q$5</f>
        <v>43.75</v>
      </c>
      <c r="K16" s="29" t="n">
        <f aca="false">K15+I16+J16</f>
        <v>1102.5</v>
      </c>
      <c r="L16" s="25" t="n">
        <f aca="false">G16-$Q$7+1</f>
        <v>3</v>
      </c>
      <c r="M16" s="25" t="n">
        <f aca="false">CEILING(K16/$Q$6,1)</f>
        <v>2</v>
      </c>
      <c r="N16" s="30" t="str">
        <f aca="false">IF(M16&lt;=L16,"On Time","Late")</f>
        <v>On Time</v>
      </c>
    </row>
    <row r="17" customFormat="false" ht="15" hidden="false" customHeight="true" outlineLevel="0" collapsed="false">
      <c r="A17" s="17" t="n">
        <v>13</v>
      </c>
      <c r="B17" s="18" t="s">
        <v>72</v>
      </c>
      <c r="C17" s="17" t="str">
        <f aca="false">INDEX(Order_Data!$B$5:$B$24,MATCH($B17,Order_Data!$A$5:$A$24,0))</f>
        <v>Om Flexibles</v>
      </c>
      <c r="D17" s="17" t="str">
        <f aca="false">INDEX(Order_Data!$C$5:$C$24,MATCH($B17,Order_Data!$A$5:$A$24,0))</f>
        <v>Flexo Ink - Maroon</v>
      </c>
      <c r="E17" s="17" t="str">
        <f aca="false">INDEX(Order_Data!$D$5:$D$24,MATCH($B17,Order_Data!$A$5:$A$24,0))</f>
        <v>Dark</v>
      </c>
      <c r="F17" s="19" t="n">
        <f aca="false">INDEX(Order_Data!$E$5:$E$24,MATCH($B17,Order_Data!$A$5:$A$24,0))</f>
        <v>450</v>
      </c>
      <c r="G17" s="20" t="n">
        <f aca="false">INDEX(Order_Data!$F$5:$F$24,MATCH($B17,Order_Data!$A$5:$A$24,0))</f>
        <v>46303</v>
      </c>
      <c r="H17" s="17" t="str">
        <f aca="false">INDEX(Order_Data!$G$5:$G$24,MATCH($B17,Order_Data!$A$5:$A$24,0))</f>
        <v>Standard</v>
      </c>
      <c r="I17" s="17" t="n">
        <f aca="false">INDEX(Changeover_Matrix!$B$5:$G$10,MATCH(E16,Changeover_Matrix!$A$5:$A$10,0),MATCH(E17,Changeover_Matrix!$B$4:$G$4,0))</f>
        <v>60</v>
      </c>
      <c r="J17" s="21" t="n">
        <f aca="false">F17/$Q$5</f>
        <v>56.25</v>
      </c>
      <c r="K17" s="21" t="n">
        <f aca="false">K16+I17+J17</f>
        <v>1218.75</v>
      </c>
      <c r="L17" s="17" t="n">
        <f aca="false">G17-$Q$7+1</f>
        <v>3</v>
      </c>
      <c r="M17" s="17" t="n">
        <f aca="false">CEILING(K17/$Q$6,1)</f>
        <v>2</v>
      </c>
      <c r="N17" s="22" t="str">
        <f aca="false">IF(M17&lt;=L17,"On Time","Late")</f>
        <v>On Time</v>
      </c>
    </row>
    <row r="18" customFormat="false" ht="15" hidden="false" customHeight="true" outlineLevel="0" collapsed="false">
      <c r="A18" s="25" t="n">
        <v>14</v>
      </c>
      <c r="B18" s="26" t="s">
        <v>84</v>
      </c>
      <c r="C18" s="25" t="str">
        <f aca="false">INDEX(Order_Data!$B$5:$B$24,MATCH($B18,Order_Data!$A$5:$A$24,0))</f>
        <v>Sunrise FlexiPack</v>
      </c>
      <c r="D18" s="25" t="str">
        <f aca="false">INDEX(Order_Data!$C$5:$C$24,MATCH($B18,Order_Data!$A$5:$A$24,0))</f>
        <v>Gravure Ink - Silver</v>
      </c>
      <c r="E18" s="25" t="str">
        <f aca="false">INDEX(Order_Data!$D$5:$D$24,MATCH($B18,Order_Data!$A$5:$A$24,0))</f>
        <v>Metallic</v>
      </c>
      <c r="F18" s="27" t="n">
        <f aca="false">INDEX(Order_Data!$E$5:$E$24,MATCH($B18,Order_Data!$A$5:$A$24,0))</f>
        <v>300</v>
      </c>
      <c r="G18" s="28" t="n">
        <f aca="false">INDEX(Order_Data!$F$5:$F$24,MATCH($B18,Order_Data!$A$5:$A$24,0))</f>
        <v>46303</v>
      </c>
      <c r="H18" s="25" t="str">
        <f aca="false">INDEX(Order_Data!$G$5:$G$24,MATCH($B18,Order_Data!$A$5:$A$24,0))</f>
        <v>Standard</v>
      </c>
      <c r="I18" s="25" t="n">
        <f aca="false">INDEX(Changeover_Matrix!$B$5:$G$10,MATCH(E17,Changeover_Matrix!$A$5:$A$10,0),MATCH(E18,Changeover_Matrix!$B$4:$G$4,0))</f>
        <v>45</v>
      </c>
      <c r="J18" s="29" t="n">
        <f aca="false">F18/$Q$5</f>
        <v>37.5</v>
      </c>
      <c r="K18" s="29" t="n">
        <f aca="false">K17+I18+J18</f>
        <v>1301.25</v>
      </c>
      <c r="L18" s="25" t="n">
        <f aca="false">G18-$Q$7+1</f>
        <v>3</v>
      </c>
      <c r="M18" s="25" t="n">
        <f aca="false">CEILING(K18/$Q$6,1)</f>
        <v>2</v>
      </c>
      <c r="N18" s="30" t="str">
        <f aca="false">IF(M18&lt;=L18,"On Time","Late")</f>
        <v>On Time</v>
      </c>
    </row>
    <row r="19" customFormat="false" ht="15" hidden="false" customHeight="true" outlineLevel="0" collapsed="false">
      <c r="A19" s="17" t="n">
        <v>15</v>
      </c>
      <c r="B19" s="18" t="s">
        <v>68</v>
      </c>
      <c r="C19" s="17" t="str">
        <f aca="false">INDEX(Order_Data!$B$5:$B$24,MATCH($B19,Order_Data!$A$5:$A$24,0))</f>
        <v>Trident Packaging</v>
      </c>
      <c r="D19" s="17" t="str">
        <f aca="false">INDEX(Order_Data!$C$5:$C$24,MATCH($B19,Order_Data!$A$5:$A$24,0))</f>
        <v>Gravure Ink - Black</v>
      </c>
      <c r="E19" s="17" t="str">
        <f aca="false">INDEX(Order_Data!$D$5:$D$24,MATCH($B19,Order_Data!$A$5:$A$24,0))</f>
        <v>Black</v>
      </c>
      <c r="F19" s="19" t="n">
        <f aca="false">INDEX(Order_Data!$E$5:$E$24,MATCH($B19,Order_Data!$A$5:$A$24,0))</f>
        <v>550</v>
      </c>
      <c r="G19" s="20" t="n">
        <f aca="false">INDEX(Order_Data!$F$5:$F$24,MATCH($B19,Order_Data!$A$5:$A$24,0))</f>
        <v>46304</v>
      </c>
      <c r="H19" s="17" t="str">
        <f aca="false">INDEX(Order_Data!$G$5:$G$24,MATCH($B19,Order_Data!$A$5:$A$24,0))</f>
        <v>Standard</v>
      </c>
      <c r="I19" s="17" t="n">
        <f aca="false">INDEX(Changeover_Matrix!$B$5:$G$10,MATCH(E18,Changeover_Matrix!$A$5:$A$10,0),MATCH(E19,Changeover_Matrix!$B$4:$G$4,0))</f>
        <v>60</v>
      </c>
      <c r="J19" s="21" t="n">
        <f aca="false">F19/$Q$5</f>
        <v>68.75</v>
      </c>
      <c r="K19" s="21" t="n">
        <f aca="false">K18+I19+J19</f>
        <v>1430</v>
      </c>
      <c r="L19" s="17" t="n">
        <f aca="false">G19-$Q$7+1</f>
        <v>4</v>
      </c>
      <c r="M19" s="17" t="n">
        <f aca="false">CEILING(K19/$Q$6,1)</f>
        <v>2</v>
      </c>
      <c r="N19" s="22" t="str">
        <f aca="false">IF(M19&lt;=L19,"On Time","Late")</f>
        <v>On Time</v>
      </c>
    </row>
    <row r="20" customFormat="false" ht="15" hidden="false" customHeight="true" outlineLevel="0" collapsed="false">
      <c r="A20" s="25" t="n">
        <v>16</v>
      </c>
      <c r="B20" s="26" t="s">
        <v>74</v>
      </c>
      <c r="C20" s="25" t="str">
        <f aca="false">INDEX(Order_Data!$B$5:$B$24,MATCH($B20,Order_Data!$A$5:$A$24,0))</f>
        <v>Sunrise FlexiPack</v>
      </c>
      <c r="D20" s="25" t="str">
        <f aca="false">INDEX(Order_Data!$C$5:$C$24,MATCH($B20,Order_Data!$A$5:$A$24,0))</f>
        <v>Solvent Ink - Gold</v>
      </c>
      <c r="E20" s="25" t="str">
        <f aca="false">INDEX(Order_Data!$D$5:$D$24,MATCH($B20,Order_Data!$A$5:$A$24,0))</f>
        <v>Metallic</v>
      </c>
      <c r="F20" s="27" t="n">
        <f aca="false">INDEX(Order_Data!$E$5:$E$24,MATCH($B20,Order_Data!$A$5:$A$24,0))</f>
        <v>250</v>
      </c>
      <c r="G20" s="28" t="n">
        <f aca="false">INDEX(Order_Data!$F$5:$F$24,MATCH($B20,Order_Data!$A$5:$A$24,0))</f>
        <v>46304</v>
      </c>
      <c r="H20" s="25" t="str">
        <f aca="false">INDEX(Order_Data!$G$5:$G$24,MATCH($B20,Order_Data!$A$5:$A$24,0))</f>
        <v>Standard</v>
      </c>
      <c r="I20" s="25" t="n">
        <f aca="false">INDEX(Changeover_Matrix!$B$5:$G$10,MATCH(E19,Changeover_Matrix!$A$5:$A$10,0),MATCH(E20,Changeover_Matrix!$B$4:$G$4,0))</f>
        <v>60</v>
      </c>
      <c r="J20" s="29" t="n">
        <f aca="false">F20/$Q$5</f>
        <v>31.25</v>
      </c>
      <c r="K20" s="29" t="n">
        <f aca="false">K19+I20+J20</f>
        <v>1521.25</v>
      </c>
      <c r="L20" s="25" t="n">
        <f aca="false">G20-$Q$7+1</f>
        <v>4</v>
      </c>
      <c r="M20" s="25" t="n">
        <f aca="false">CEILING(K20/$Q$6,1)</f>
        <v>2</v>
      </c>
      <c r="N20" s="30" t="str">
        <f aca="false">IF(M20&lt;=L20,"On Time","Late")</f>
        <v>On Time</v>
      </c>
    </row>
    <row r="21" customFormat="false" ht="15" hidden="false" customHeight="true" outlineLevel="0" collapsed="false">
      <c r="A21" s="17" t="n">
        <v>17</v>
      </c>
      <c r="B21" s="18" t="s">
        <v>82</v>
      </c>
      <c r="C21" s="17" t="str">
        <f aca="false">INDEX(Order_Data!$B$5:$B$24,MATCH($B21,Order_Data!$A$5:$A$24,0))</f>
        <v>Om Flexibles</v>
      </c>
      <c r="D21" s="17" t="str">
        <f aca="false">INDEX(Order_Data!$C$5:$C$24,MATCH($B21,Order_Data!$A$5:$A$24,0))</f>
        <v>Solvent Ink - Deep Blue</v>
      </c>
      <c r="E21" s="17" t="str">
        <f aca="false">INDEX(Order_Data!$D$5:$D$24,MATCH($B21,Order_Data!$A$5:$A$24,0))</f>
        <v>Dark</v>
      </c>
      <c r="F21" s="19" t="n">
        <f aca="false">INDEX(Order_Data!$E$5:$E$24,MATCH($B21,Order_Data!$A$5:$A$24,0))</f>
        <v>500</v>
      </c>
      <c r="G21" s="20" t="n">
        <f aca="false">INDEX(Order_Data!$F$5:$F$24,MATCH($B21,Order_Data!$A$5:$A$24,0))</f>
        <v>46304</v>
      </c>
      <c r="H21" s="17" t="str">
        <f aca="false">INDEX(Order_Data!$G$5:$G$24,MATCH($B21,Order_Data!$A$5:$A$24,0))</f>
        <v>Standard</v>
      </c>
      <c r="I21" s="17" t="n">
        <f aca="false">INDEX(Changeover_Matrix!$B$5:$G$10,MATCH(E20,Changeover_Matrix!$A$5:$A$10,0),MATCH(E21,Changeover_Matrix!$B$4:$G$4,0))</f>
        <v>45</v>
      </c>
      <c r="J21" s="21" t="n">
        <f aca="false">F21/$Q$5</f>
        <v>62.5</v>
      </c>
      <c r="K21" s="21" t="n">
        <f aca="false">K20+I21+J21</f>
        <v>1628.75</v>
      </c>
      <c r="L21" s="17" t="n">
        <f aca="false">G21-$Q$7+1</f>
        <v>4</v>
      </c>
      <c r="M21" s="17" t="n">
        <f aca="false">CEILING(K21/$Q$6,1)</f>
        <v>2</v>
      </c>
      <c r="N21" s="22" t="str">
        <f aca="false">IF(M21&lt;=L21,"On Time","Late")</f>
        <v>On Time</v>
      </c>
    </row>
    <row r="22" customFormat="false" ht="15" hidden="false" customHeight="true" outlineLevel="0" collapsed="false">
      <c r="A22" s="25" t="n">
        <v>18</v>
      </c>
      <c r="B22" s="26" t="s">
        <v>77</v>
      </c>
      <c r="C22" s="25" t="str">
        <f aca="false">INDEX(Order_Data!$B$5:$B$24,MATCH($B22,Order_Data!$A$5:$A$24,0))</f>
        <v>NorthStar Converters</v>
      </c>
      <c r="D22" s="25" t="str">
        <f aca="false">INDEX(Order_Data!$C$5:$C$24,MATCH($B22,Order_Data!$A$5:$A$24,0))</f>
        <v>Gravure Ink - White</v>
      </c>
      <c r="E22" s="25" t="str">
        <f aca="false">INDEX(Order_Data!$D$5:$D$24,MATCH($B22,Order_Data!$A$5:$A$24,0))</f>
        <v>White</v>
      </c>
      <c r="F22" s="27" t="n">
        <f aca="false">INDEX(Order_Data!$E$5:$E$24,MATCH($B22,Order_Data!$A$5:$A$24,0))</f>
        <v>500</v>
      </c>
      <c r="G22" s="28" t="n">
        <f aca="false">INDEX(Order_Data!$F$5:$F$24,MATCH($B22,Order_Data!$A$5:$A$24,0))</f>
        <v>46305</v>
      </c>
      <c r="H22" s="25" t="str">
        <f aca="false">INDEX(Order_Data!$G$5:$G$24,MATCH($B22,Order_Data!$A$5:$A$24,0))</f>
        <v>Standard</v>
      </c>
      <c r="I22" s="25" t="n">
        <f aca="false">INDEX(Changeover_Matrix!$B$5:$G$10,MATCH(E21,Changeover_Matrix!$A$5:$A$10,0),MATCH(E22,Changeover_Matrix!$B$4:$G$4,0))</f>
        <v>90</v>
      </c>
      <c r="J22" s="29" t="n">
        <f aca="false">F22/$Q$5</f>
        <v>62.5</v>
      </c>
      <c r="K22" s="29" t="n">
        <f aca="false">K21+I22+J22</f>
        <v>1781.25</v>
      </c>
      <c r="L22" s="25" t="n">
        <f aca="false">G22-$Q$7+1</f>
        <v>5</v>
      </c>
      <c r="M22" s="25" t="n">
        <f aca="false">CEILING(K22/$Q$6,1)</f>
        <v>2</v>
      </c>
      <c r="N22" s="30" t="str">
        <f aca="false">IF(M22&lt;=L22,"On Time","Late")</f>
        <v>On Time</v>
      </c>
    </row>
    <row r="23" customFormat="false" ht="15" hidden="false" customHeight="true" outlineLevel="0" collapsed="false">
      <c r="A23" s="17" t="n">
        <v>19</v>
      </c>
      <c r="B23" s="18" t="s">
        <v>81</v>
      </c>
      <c r="C23" s="17" t="str">
        <f aca="false">INDEX(Order_Data!$B$5:$B$24,MATCH($B23,Order_Data!$A$5:$A$24,0))</f>
        <v>Kavya Print Solutions</v>
      </c>
      <c r="D23" s="17" t="str">
        <f aca="false">INDEX(Order_Data!$C$5:$C$24,MATCH($B23,Order_Data!$A$5:$A$24,0))</f>
        <v>Flexo Ink - Yellow</v>
      </c>
      <c r="E23" s="17" t="str">
        <f aca="false">INDEX(Order_Data!$D$5:$D$24,MATCH($B23,Order_Data!$A$5:$A$24,0))</f>
        <v>Light</v>
      </c>
      <c r="F23" s="19" t="n">
        <f aca="false">INDEX(Order_Data!$E$5:$E$24,MATCH($B23,Order_Data!$A$5:$A$24,0))</f>
        <v>300</v>
      </c>
      <c r="G23" s="20" t="n">
        <f aca="false">INDEX(Order_Data!$F$5:$F$24,MATCH($B23,Order_Data!$A$5:$A$24,0))</f>
        <v>46305</v>
      </c>
      <c r="H23" s="17" t="str">
        <f aca="false">INDEX(Order_Data!$G$5:$G$24,MATCH($B23,Order_Data!$A$5:$A$24,0))</f>
        <v>Standard</v>
      </c>
      <c r="I23" s="17" t="n">
        <f aca="false">INDEX(Changeover_Matrix!$B$5:$G$10,MATCH(E22,Changeover_Matrix!$A$5:$A$10,0),MATCH(E23,Changeover_Matrix!$B$4:$G$4,0))</f>
        <v>30</v>
      </c>
      <c r="J23" s="21" t="n">
        <f aca="false">F23/$Q$5</f>
        <v>37.5</v>
      </c>
      <c r="K23" s="21" t="n">
        <f aca="false">K22+I23+J23</f>
        <v>1848.75</v>
      </c>
      <c r="L23" s="17" t="n">
        <f aca="false">G23-$Q$7+1</f>
        <v>5</v>
      </c>
      <c r="M23" s="17" t="n">
        <f aca="false">CEILING(K23/$Q$6,1)</f>
        <v>2</v>
      </c>
      <c r="N23" s="22" t="str">
        <f aca="false">IF(M23&lt;=L23,"On Time","Late")</f>
        <v>On Time</v>
      </c>
    </row>
    <row r="24" customFormat="false" ht="15" hidden="false" customHeight="true" outlineLevel="0" collapsed="false">
      <c r="A24" s="25" t="n">
        <v>20</v>
      </c>
      <c r="B24" s="26" t="s">
        <v>86</v>
      </c>
      <c r="C24" s="25" t="str">
        <f aca="false">INDEX(Order_Data!$B$5:$B$24,MATCH($B24,Order_Data!$A$5:$A$24,0))</f>
        <v>Apex Labels</v>
      </c>
      <c r="D24" s="25" t="str">
        <f aca="false">INDEX(Order_Data!$C$5:$C$24,MATCH($B24,Order_Data!$A$5:$A$24,0))</f>
        <v>Flexo Ink - Magenta</v>
      </c>
      <c r="E24" s="25" t="str">
        <f aca="false">INDEX(Order_Data!$D$5:$D$24,MATCH($B24,Order_Data!$A$5:$A$24,0))</f>
        <v>Medium</v>
      </c>
      <c r="F24" s="27" t="n">
        <f aca="false">INDEX(Order_Data!$E$5:$E$24,MATCH($B24,Order_Data!$A$5:$A$24,0))</f>
        <v>450</v>
      </c>
      <c r="G24" s="28" t="n">
        <f aca="false">INDEX(Order_Data!$F$5:$F$24,MATCH($B24,Order_Data!$A$5:$A$24,0))</f>
        <v>46305</v>
      </c>
      <c r="H24" s="25" t="str">
        <f aca="false">INDEX(Order_Data!$G$5:$G$24,MATCH($B24,Order_Data!$A$5:$A$24,0))</f>
        <v>Standard</v>
      </c>
      <c r="I24" s="25" t="n">
        <f aca="false">INDEX(Changeover_Matrix!$B$5:$G$10,MATCH(E23,Changeover_Matrix!$A$5:$A$10,0),MATCH(E24,Changeover_Matrix!$B$4:$G$4,0))</f>
        <v>30</v>
      </c>
      <c r="J24" s="29" t="n">
        <f aca="false">F24/$Q$5</f>
        <v>56.25</v>
      </c>
      <c r="K24" s="29" t="n">
        <f aca="false">K23+I24+J24</f>
        <v>1935</v>
      </c>
      <c r="L24" s="25" t="n">
        <f aca="false">G24-$Q$7+1</f>
        <v>5</v>
      </c>
      <c r="M24" s="25" t="n">
        <f aca="false">CEILING(K24/$Q$6,1)</f>
        <v>3</v>
      </c>
      <c r="N24" s="30" t="str">
        <f aca="false">IF(M24&lt;=L24,"On Time","Late")</f>
        <v>On Time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4" min="3" style="1" width="20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10" min="8" style="1" width="10"/>
    <col collapsed="false" customWidth="true" hidden="false" outlineLevel="0" max="11" min="11" style="1" width="12"/>
    <col collapsed="false" customWidth="true" hidden="false" outlineLevel="0" max="13" min="12" style="1" width="8"/>
    <col collapsed="false" customWidth="true" hidden="false" outlineLevel="0" max="14" min="14" style="1" width="9"/>
    <col collapsed="false" customWidth="true" hidden="false" outlineLevel="0" max="16" min="16" style="1" width="22"/>
    <col collapsed="false" customWidth="true" hidden="false" outlineLevel="0" max="17" min="17" style="1" width="10"/>
  </cols>
  <sheetData>
    <row r="1" customFormat="false" ht="27.7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108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16" t="s">
        <v>93</v>
      </c>
      <c r="B4" s="16" t="s">
        <v>29</v>
      </c>
      <c r="C4" s="16" t="s">
        <v>30</v>
      </c>
      <c r="D4" s="16" t="s">
        <v>31</v>
      </c>
      <c r="E4" s="16" t="s">
        <v>94</v>
      </c>
      <c r="F4" s="16" t="s">
        <v>95</v>
      </c>
      <c r="G4" s="16" t="s">
        <v>96</v>
      </c>
      <c r="H4" s="16" t="s">
        <v>35</v>
      </c>
      <c r="I4" s="16" t="s">
        <v>97</v>
      </c>
      <c r="J4" s="16" t="s">
        <v>98</v>
      </c>
      <c r="K4" s="16" t="s">
        <v>99</v>
      </c>
      <c r="L4" s="16" t="s">
        <v>100</v>
      </c>
      <c r="M4" s="16" t="s">
        <v>101</v>
      </c>
      <c r="N4" s="16" t="s">
        <v>102</v>
      </c>
      <c r="P4" s="5" t="s">
        <v>20</v>
      </c>
    </row>
    <row r="5" customFormat="false" ht="15" hidden="false" customHeight="true" outlineLevel="0" collapsed="false">
      <c r="A5" s="17" t="n">
        <v>1</v>
      </c>
      <c r="B5" s="18" t="s">
        <v>41</v>
      </c>
      <c r="C5" s="17" t="str">
        <f aca="false">INDEX(Order_Data!$B$5:$B$24,MATCH($B5,Order_Data!$A$5:$A$24,0))</f>
        <v>Apex Labels</v>
      </c>
      <c r="D5" s="17" t="str">
        <f aca="false">INDEX(Order_Data!$C$5:$C$24,MATCH($B5,Order_Data!$A$5:$A$24,0))</f>
        <v>UV Ink - White</v>
      </c>
      <c r="E5" s="17" t="str">
        <f aca="false">INDEX(Order_Data!$D$5:$D$24,MATCH($B5,Order_Data!$A$5:$A$24,0))</f>
        <v>White</v>
      </c>
      <c r="F5" s="19" t="n">
        <f aca="false">INDEX(Order_Data!$E$5:$E$24,MATCH($B5,Order_Data!$A$5:$A$24,0))</f>
        <v>300</v>
      </c>
      <c r="G5" s="20" t="n">
        <f aca="false">INDEX(Order_Data!$F$5:$F$24,MATCH($B5,Order_Data!$A$5:$A$24,0))</f>
        <v>46301</v>
      </c>
      <c r="H5" s="17" t="str">
        <f aca="false">INDEX(Order_Data!$G$5:$G$24,MATCH($B5,Order_Data!$A$5:$A$24,0))</f>
        <v>Rush</v>
      </c>
      <c r="I5" s="17" t="s">
        <v>103</v>
      </c>
      <c r="J5" s="21" t="n">
        <f aca="false">F5/$Q$5</f>
        <v>37.5</v>
      </c>
      <c r="K5" s="21" t="n">
        <f aca="false">I5+J5</f>
        <v>37.5</v>
      </c>
      <c r="L5" s="17" t="n">
        <f aca="false">G5-$Q$7+1</f>
        <v>1</v>
      </c>
      <c r="M5" s="17" t="n">
        <f aca="false">CEILING(K5/$Q$6,1)</f>
        <v>1</v>
      </c>
      <c r="N5" s="22" t="str">
        <f aca="false">IF(M5&lt;=L5,"On Time","Late")</f>
        <v>On Time</v>
      </c>
      <c r="P5" s="23" t="s">
        <v>104</v>
      </c>
      <c r="Q5" s="24" t="n">
        <v>8</v>
      </c>
    </row>
    <row r="6" customFormat="false" ht="15" hidden="false" customHeight="true" outlineLevel="0" collapsed="false">
      <c r="A6" s="25" t="n">
        <v>2</v>
      </c>
      <c r="B6" s="26" t="s">
        <v>64</v>
      </c>
      <c r="C6" s="25" t="str">
        <f aca="false">INDEX(Order_Data!$B$5:$B$24,MATCH($B6,Order_Data!$A$5:$A$24,0))</f>
        <v>Apex Labels</v>
      </c>
      <c r="D6" s="25" t="str">
        <f aca="false">INDEX(Order_Data!$C$5:$C$24,MATCH($B6,Order_Data!$A$5:$A$24,0))</f>
        <v>Solvent Ink - White</v>
      </c>
      <c r="E6" s="25" t="str">
        <f aca="false">INDEX(Order_Data!$D$5:$D$24,MATCH($B6,Order_Data!$A$5:$A$24,0))</f>
        <v>White</v>
      </c>
      <c r="F6" s="27" t="n">
        <f aca="false">INDEX(Order_Data!$E$5:$E$24,MATCH($B6,Order_Data!$A$5:$A$24,0))</f>
        <v>350</v>
      </c>
      <c r="G6" s="28" t="n">
        <f aca="false">INDEX(Order_Data!$F$5:$F$24,MATCH($B6,Order_Data!$A$5:$A$24,0))</f>
        <v>46303</v>
      </c>
      <c r="H6" s="25" t="str">
        <f aca="false">INDEX(Order_Data!$G$5:$G$24,MATCH($B6,Order_Data!$A$5:$A$24,0))</f>
        <v>Standard</v>
      </c>
      <c r="I6" s="25" t="n">
        <f aca="false">INDEX(Changeover_Matrix!$B$5:$G$10,MATCH(E5,Changeover_Matrix!$A$5:$A$10,0),MATCH(E6,Changeover_Matrix!$B$4:$G$4,0))</f>
        <v>15</v>
      </c>
      <c r="J6" s="29" t="n">
        <f aca="false">F6/$Q$5</f>
        <v>43.75</v>
      </c>
      <c r="K6" s="29" t="n">
        <f aca="false">K5+I6+J6</f>
        <v>96.25</v>
      </c>
      <c r="L6" s="25" t="n">
        <f aca="false">G6-$Q$7+1</f>
        <v>3</v>
      </c>
      <c r="M6" s="25" t="n">
        <f aca="false">CEILING(K6/$Q$6,1)</f>
        <v>1</v>
      </c>
      <c r="N6" s="30" t="str">
        <f aca="false">IF(M6&lt;=L6,"On Time","Late")</f>
        <v>On Time</v>
      </c>
      <c r="P6" s="23" t="s">
        <v>105</v>
      </c>
      <c r="Q6" s="24" t="n">
        <v>960</v>
      </c>
    </row>
    <row r="7" customFormat="false" ht="15" hidden="false" customHeight="true" outlineLevel="0" collapsed="false">
      <c r="A7" s="17" t="n">
        <v>3</v>
      </c>
      <c r="B7" s="18" t="s">
        <v>77</v>
      </c>
      <c r="C7" s="17" t="str">
        <f aca="false">INDEX(Order_Data!$B$5:$B$24,MATCH($B7,Order_Data!$A$5:$A$24,0))</f>
        <v>NorthStar Converters</v>
      </c>
      <c r="D7" s="17" t="str">
        <f aca="false">INDEX(Order_Data!$C$5:$C$24,MATCH($B7,Order_Data!$A$5:$A$24,0))</f>
        <v>Gravure Ink - White</v>
      </c>
      <c r="E7" s="17" t="str">
        <f aca="false">INDEX(Order_Data!$D$5:$D$24,MATCH($B7,Order_Data!$A$5:$A$24,0))</f>
        <v>White</v>
      </c>
      <c r="F7" s="19" t="n">
        <f aca="false">INDEX(Order_Data!$E$5:$E$24,MATCH($B7,Order_Data!$A$5:$A$24,0))</f>
        <v>500</v>
      </c>
      <c r="G7" s="20" t="n">
        <f aca="false">INDEX(Order_Data!$F$5:$F$24,MATCH($B7,Order_Data!$A$5:$A$24,0))</f>
        <v>46305</v>
      </c>
      <c r="H7" s="17" t="str">
        <f aca="false">INDEX(Order_Data!$G$5:$G$24,MATCH($B7,Order_Data!$A$5:$A$24,0))</f>
        <v>Standard</v>
      </c>
      <c r="I7" s="17" t="n">
        <f aca="false">INDEX(Changeover_Matrix!$B$5:$G$10,MATCH(E6,Changeover_Matrix!$A$5:$A$10,0),MATCH(E7,Changeover_Matrix!$B$4:$G$4,0))</f>
        <v>15</v>
      </c>
      <c r="J7" s="21" t="n">
        <f aca="false">F7/$Q$5</f>
        <v>62.5</v>
      </c>
      <c r="K7" s="21" t="n">
        <f aca="false">K6+I7+J7</f>
        <v>173.75</v>
      </c>
      <c r="L7" s="17" t="n">
        <f aca="false">G7-$Q$7+1</f>
        <v>5</v>
      </c>
      <c r="M7" s="17" t="n">
        <f aca="false">CEILING(K7/$Q$6,1)</f>
        <v>1</v>
      </c>
      <c r="N7" s="22" t="str">
        <f aca="false">IF(M7&lt;=L7,"On Time","Late")</f>
        <v>On Time</v>
      </c>
      <c r="P7" s="23" t="s">
        <v>106</v>
      </c>
      <c r="Q7" s="31" t="n">
        <v>46301</v>
      </c>
    </row>
    <row r="8" customFormat="false" ht="15" hidden="false" customHeight="true" outlineLevel="0" collapsed="false">
      <c r="A8" s="25" t="n">
        <v>4</v>
      </c>
      <c r="B8" s="26" t="s">
        <v>50</v>
      </c>
      <c r="C8" s="25" t="str">
        <f aca="false">INDEX(Order_Data!$B$5:$B$24,MATCH($B8,Order_Data!$A$5:$A$24,0))</f>
        <v>Trident Packaging</v>
      </c>
      <c r="D8" s="25" t="str">
        <f aca="false">INDEX(Order_Data!$C$5:$C$24,MATCH($B8,Order_Data!$A$5:$A$24,0))</f>
        <v>Flexo Ink - Yellow</v>
      </c>
      <c r="E8" s="25" t="str">
        <f aca="false">INDEX(Order_Data!$D$5:$D$24,MATCH($B8,Order_Data!$A$5:$A$24,0))</f>
        <v>Light</v>
      </c>
      <c r="F8" s="27" t="n">
        <f aca="false">INDEX(Order_Data!$E$5:$E$24,MATCH($B8,Order_Data!$A$5:$A$24,0))</f>
        <v>250</v>
      </c>
      <c r="G8" s="28" t="n">
        <f aca="false">INDEX(Order_Data!$F$5:$F$24,MATCH($B8,Order_Data!$A$5:$A$24,0))</f>
        <v>46301</v>
      </c>
      <c r="H8" s="25" t="str">
        <f aca="false">INDEX(Order_Data!$G$5:$G$24,MATCH($B8,Order_Data!$A$5:$A$24,0))</f>
        <v>Standard</v>
      </c>
      <c r="I8" s="25" t="n">
        <f aca="false">INDEX(Changeover_Matrix!$B$5:$G$10,MATCH(E7,Changeover_Matrix!$A$5:$A$10,0),MATCH(E8,Changeover_Matrix!$B$4:$G$4,0))</f>
        <v>30</v>
      </c>
      <c r="J8" s="29" t="n">
        <f aca="false">F8/$Q$5</f>
        <v>31.25</v>
      </c>
      <c r="K8" s="29" t="n">
        <f aca="false">K7+I8+J8</f>
        <v>235</v>
      </c>
      <c r="L8" s="25" t="n">
        <f aca="false">G8-$Q$7+1</f>
        <v>1</v>
      </c>
      <c r="M8" s="25" t="n">
        <f aca="false">CEILING(K8/$Q$6,1)</f>
        <v>1</v>
      </c>
      <c r="N8" s="30" t="str">
        <f aca="false">IF(M8&lt;=L8,"On Time","Late")</f>
        <v>On Time</v>
      </c>
    </row>
    <row r="9" customFormat="false" ht="15" hidden="false" customHeight="true" outlineLevel="0" collapsed="false">
      <c r="A9" s="17" t="n">
        <v>5</v>
      </c>
      <c r="B9" s="18" t="s">
        <v>66</v>
      </c>
      <c r="C9" s="17" t="str">
        <f aca="false">INDEX(Order_Data!$B$5:$B$24,MATCH($B9,Order_Data!$A$5:$A$24,0))</f>
        <v>NorthStar Converters</v>
      </c>
      <c r="D9" s="17" t="str">
        <f aca="false">INDEX(Order_Data!$C$5:$C$24,MATCH($B9,Order_Data!$A$5:$A$24,0))</f>
        <v>Flexo Ink - Orange</v>
      </c>
      <c r="E9" s="17" t="str">
        <f aca="false">INDEX(Order_Data!$D$5:$D$24,MATCH($B9,Order_Data!$A$5:$A$24,0))</f>
        <v>Light</v>
      </c>
      <c r="F9" s="19" t="n">
        <f aca="false">INDEX(Order_Data!$E$5:$E$24,MATCH($B9,Order_Data!$A$5:$A$24,0))</f>
        <v>400</v>
      </c>
      <c r="G9" s="20" t="n">
        <f aca="false">INDEX(Order_Data!$F$5:$F$24,MATCH($B9,Order_Data!$A$5:$A$24,0))</f>
        <v>46301</v>
      </c>
      <c r="H9" s="17" t="str">
        <f aca="false">INDEX(Order_Data!$G$5:$G$24,MATCH($B9,Order_Data!$A$5:$A$24,0))</f>
        <v>Standard</v>
      </c>
      <c r="I9" s="17" t="n">
        <f aca="false">INDEX(Changeover_Matrix!$B$5:$G$10,MATCH(E8,Changeover_Matrix!$A$5:$A$10,0),MATCH(E9,Changeover_Matrix!$B$4:$G$4,0))</f>
        <v>15</v>
      </c>
      <c r="J9" s="21" t="n">
        <f aca="false">F9/$Q$5</f>
        <v>50</v>
      </c>
      <c r="K9" s="21" t="n">
        <f aca="false">K8+I9+J9</f>
        <v>300</v>
      </c>
      <c r="L9" s="17" t="n">
        <f aca="false">G9-$Q$7+1</f>
        <v>1</v>
      </c>
      <c r="M9" s="17" t="n">
        <f aca="false">CEILING(K9/$Q$6,1)</f>
        <v>1</v>
      </c>
      <c r="N9" s="22" t="str">
        <f aca="false">IF(M9&lt;=L9,"On Time","Late")</f>
        <v>On Time</v>
      </c>
      <c r="P9" s="5" t="s">
        <v>109</v>
      </c>
      <c r="Q9" s="32" t="s">
        <v>110</v>
      </c>
      <c r="R9" s="32"/>
      <c r="S9" s="32"/>
      <c r="T9" s="32"/>
    </row>
    <row r="10" customFormat="false" ht="15" hidden="false" customHeight="true" outlineLevel="0" collapsed="false">
      <c r="A10" s="25" t="n">
        <v>6</v>
      </c>
      <c r="B10" s="26" t="s">
        <v>81</v>
      </c>
      <c r="C10" s="25" t="str">
        <f aca="false">INDEX(Order_Data!$B$5:$B$24,MATCH($B10,Order_Data!$A$5:$A$24,0))</f>
        <v>Kavya Print Solutions</v>
      </c>
      <c r="D10" s="25" t="str">
        <f aca="false">INDEX(Order_Data!$C$5:$C$24,MATCH($B10,Order_Data!$A$5:$A$24,0))</f>
        <v>Flexo Ink - Yellow</v>
      </c>
      <c r="E10" s="25" t="str">
        <f aca="false">INDEX(Order_Data!$D$5:$D$24,MATCH($B10,Order_Data!$A$5:$A$24,0))</f>
        <v>Light</v>
      </c>
      <c r="F10" s="27" t="n">
        <f aca="false">INDEX(Order_Data!$E$5:$E$24,MATCH($B10,Order_Data!$A$5:$A$24,0))</f>
        <v>300</v>
      </c>
      <c r="G10" s="28" t="n">
        <f aca="false">INDEX(Order_Data!$F$5:$F$24,MATCH($B10,Order_Data!$A$5:$A$24,0))</f>
        <v>46305</v>
      </c>
      <c r="H10" s="25" t="str">
        <f aca="false">INDEX(Order_Data!$G$5:$G$24,MATCH($B10,Order_Data!$A$5:$A$24,0))</f>
        <v>Standard</v>
      </c>
      <c r="I10" s="25" t="n">
        <f aca="false">INDEX(Changeover_Matrix!$B$5:$G$10,MATCH(E9,Changeover_Matrix!$A$5:$A$10,0),MATCH(E10,Changeover_Matrix!$B$4:$G$4,0))</f>
        <v>15</v>
      </c>
      <c r="J10" s="29" t="n">
        <f aca="false">F10/$Q$5</f>
        <v>37.5</v>
      </c>
      <c r="K10" s="29" t="n">
        <f aca="false">K9+I10+J10</f>
        <v>352.5</v>
      </c>
      <c r="L10" s="25" t="n">
        <f aca="false">G10-$Q$7+1</f>
        <v>5</v>
      </c>
      <c r="M10" s="25" t="n">
        <f aca="false">CEILING(K10/$Q$6,1)</f>
        <v>1</v>
      </c>
      <c r="N10" s="30" t="str">
        <f aca="false">IF(M10&lt;=L10,"On Time","Late")</f>
        <v>On Time</v>
      </c>
      <c r="Q10" s="32"/>
      <c r="R10" s="32"/>
      <c r="S10" s="32"/>
      <c r="T10" s="32"/>
    </row>
    <row r="11" customFormat="false" ht="15" hidden="false" customHeight="true" outlineLevel="0" collapsed="false">
      <c r="A11" s="17" t="n">
        <v>7</v>
      </c>
      <c r="B11" s="18" t="s">
        <v>36</v>
      </c>
      <c r="C11" s="17" t="str">
        <f aca="false">INDEX(Order_Data!$B$5:$B$24,MATCH($B11,Order_Data!$A$5:$A$24,0))</f>
        <v>Sunrise FlexiPack</v>
      </c>
      <c r="D11" s="17" t="str">
        <f aca="false">INDEX(Order_Data!$C$5:$C$24,MATCH($B11,Order_Data!$A$5:$A$24,0))</f>
        <v>Flexo Ink - Cyan</v>
      </c>
      <c r="E11" s="17" t="str">
        <f aca="false">INDEX(Order_Data!$D$5:$D$24,MATCH($B11,Order_Data!$A$5:$A$24,0))</f>
        <v>Medium</v>
      </c>
      <c r="F11" s="19" t="n">
        <f aca="false">INDEX(Order_Data!$E$5:$E$24,MATCH($B11,Order_Data!$A$5:$A$24,0))</f>
        <v>450</v>
      </c>
      <c r="G11" s="20" t="n">
        <f aca="false">INDEX(Order_Data!$F$5:$F$24,MATCH($B11,Order_Data!$A$5:$A$24,0))</f>
        <v>46301</v>
      </c>
      <c r="H11" s="17" t="str">
        <f aca="false">INDEX(Order_Data!$G$5:$G$24,MATCH($B11,Order_Data!$A$5:$A$24,0))</f>
        <v>Standard</v>
      </c>
      <c r="I11" s="17" t="n">
        <f aca="false">INDEX(Changeover_Matrix!$B$5:$G$10,MATCH(E10,Changeover_Matrix!$A$5:$A$10,0),MATCH(E11,Changeover_Matrix!$B$4:$G$4,0))</f>
        <v>30</v>
      </c>
      <c r="J11" s="21" t="n">
        <f aca="false">F11/$Q$5</f>
        <v>56.25</v>
      </c>
      <c r="K11" s="21" t="n">
        <f aca="false">K10+I11+J11</f>
        <v>438.75</v>
      </c>
      <c r="L11" s="17" t="n">
        <f aca="false">G11-$Q$7+1</f>
        <v>1</v>
      </c>
      <c r="M11" s="17" t="n">
        <f aca="false">CEILING(K11/$Q$6,1)</f>
        <v>1</v>
      </c>
      <c r="N11" s="22" t="str">
        <f aca="false">IF(M11&lt;=L11,"On Time","Late")</f>
        <v>On Time</v>
      </c>
      <c r="Q11" s="32"/>
      <c r="R11" s="32"/>
      <c r="S11" s="32"/>
      <c r="T11" s="32"/>
    </row>
    <row r="12" customFormat="false" ht="15" hidden="false" customHeight="true" outlineLevel="0" collapsed="false">
      <c r="A12" s="25" t="n">
        <v>8</v>
      </c>
      <c r="B12" s="26" t="s">
        <v>70</v>
      </c>
      <c r="C12" s="25" t="str">
        <f aca="false">INDEX(Order_Data!$B$5:$B$24,MATCH($B12,Order_Data!$A$5:$A$24,0))</f>
        <v>Kavya Print Solutions</v>
      </c>
      <c r="D12" s="25" t="str">
        <f aca="false">INDEX(Order_Data!$C$5:$C$24,MATCH($B12,Order_Data!$A$5:$A$24,0))</f>
        <v>UV Ink - Green</v>
      </c>
      <c r="E12" s="25" t="str">
        <f aca="false">INDEX(Order_Data!$D$5:$D$24,MATCH($B12,Order_Data!$A$5:$A$24,0))</f>
        <v>Medium</v>
      </c>
      <c r="F12" s="27" t="n">
        <f aca="false">INDEX(Order_Data!$E$5:$E$24,MATCH($B12,Order_Data!$A$5:$A$24,0))</f>
        <v>300</v>
      </c>
      <c r="G12" s="28" t="n">
        <f aca="false">INDEX(Order_Data!$F$5:$F$24,MATCH($B12,Order_Data!$A$5:$A$24,0))</f>
        <v>46302</v>
      </c>
      <c r="H12" s="25" t="str">
        <f aca="false">INDEX(Order_Data!$G$5:$G$24,MATCH($B12,Order_Data!$A$5:$A$24,0))</f>
        <v>Rush</v>
      </c>
      <c r="I12" s="25" t="n">
        <f aca="false">INDEX(Changeover_Matrix!$B$5:$G$10,MATCH(E11,Changeover_Matrix!$A$5:$A$10,0),MATCH(E12,Changeover_Matrix!$B$4:$G$4,0))</f>
        <v>15</v>
      </c>
      <c r="J12" s="29" t="n">
        <f aca="false">F12/$Q$5</f>
        <v>37.5</v>
      </c>
      <c r="K12" s="29" t="n">
        <f aca="false">K11+I12+J12</f>
        <v>491.25</v>
      </c>
      <c r="L12" s="25" t="n">
        <f aca="false">G12-$Q$7+1</f>
        <v>2</v>
      </c>
      <c r="M12" s="25" t="n">
        <f aca="false">CEILING(K12/$Q$6,1)</f>
        <v>1</v>
      </c>
      <c r="N12" s="30" t="str">
        <f aca="false">IF(M12&lt;=L12,"On Time","Late")</f>
        <v>On Time</v>
      </c>
      <c r="Q12" s="32"/>
      <c r="R12" s="32"/>
      <c r="S12" s="32"/>
      <c r="T12" s="32"/>
    </row>
    <row r="13" customFormat="false" ht="15" hidden="false" customHeight="true" outlineLevel="0" collapsed="false">
      <c r="A13" s="17" t="n">
        <v>9</v>
      </c>
      <c r="B13" s="18" t="s">
        <v>76</v>
      </c>
      <c r="C13" s="17" t="str">
        <f aca="false">INDEX(Order_Data!$B$5:$B$24,MATCH($B13,Order_Data!$A$5:$A$24,0))</f>
        <v>Apex Labels</v>
      </c>
      <c r="D13" s="17" t="str">
        <f aca="false">INDEX(Order_Data!$C$5:$C$24,MATCH($B13,Order_Data!$A$5:$A$24,0))</f>
        <v>Flexo Ink - Cyan</v>
      </c>
      <c r="E13" s="17" t="str">
        <f aca="false">INDEX(Order_Data!$D$5:$D$24,MATCH($B13,Order_Data!$A$5:$A$24,0))</f>
        <v>Medium</v>
      </c>
      <c r="F13" s="19" t="n">
        <f aca="false">INDEX(Order_Data!$E$5:$E$24,MATCH($B13,Order_Data!$A$5:$A$24,0))</f>
        <v>400</v>
      </c>
      <c r="G13" s="20" t="n">
        <f aca="false">INDEX(Order_Data!$F$5:$F$24,MATCH($B13,Order_Data!$A$5:$A$24,0))</f>
        <v>46302</v>
      </c>
      <c r="H13" s="17" t="str">
        <f aca="false">INDEX(Order_Data!$G$5:$G$24,MATCH($B13,Order_Data!$A$5:$A$24,0))</f>
        <v>Standard</v>
      </c>
      <c r="I13" s="17" t="n">
        <f aca="false">INDEX(Changeover_Matrix!$B$5:$G$10,MATCH(E12,Changeover_Matrix!$A$5:$A$10,0),MATCH(E13,Changeover_Matrix!$B$4:$G$4,0))</f>
        <v>15</v>
      </c>
      <c r="J13" s="21" t="n">
        <f aca="false">F13/$Q$5</f>
        <v>50</v>
      </c>
      <c r="K13" s="21" t="n">
        <f aca="false">K12+I13+J13</f>
        <v>556.25</v>
      </c>
      <c r="L13" s="17" t="n">
        <f aca="false">G13-$Q$7+1</f>
        <v>2</v>
      </c>
      <c r="M13" s="17" t="n">
        <f aca="false">CEILING(K13/$Q$6,1)</f>
        <v>1</v>
      </c>
      <c r="N13" s="22" t="str">
        <f aca="false">IF(M13&lt;=L13,"On Time","Late")</f>
        <v>On Time</v>
      </c>
      <c r="Q13" s="32"/>
      <c r="R13" s="32"/>
      <c r="S13" s="32"/>
      <c r="T13" s="32"/>
    </row>
    <row r="14" customFormat="false" ht="15" hidden="false" customHeight="true" outlineLevel="0" collapsed="false">
      <c r="A14" s="25" t="n">
        <v>10</v>
      </c>
      <c r="B14" s="26" t="s">
        <v>54</v>
      </c>
      <c r="C14" s="25" t="str">
        <f aca="false">INDEX(Order_Data!$B$5:$B$24,MATCH($B14,Order_Data!$A$5:$A$24,0))</f>
        <v>Kavya Print Solutions</v>
      </c>
      <c r="D14" s="25" t="str">
        <f aca="false">INDEX(Order_Data!$C$5:$C$24,MATCH($B14,Order_Data!$A$5:$A$24,0))</f>
        <v>Gravure Ink - Magenta</v>
      </c>
      <c r="E14" s="25" t="str">
        <f aca="false">INDEX(Order_Data!$D$5:$D$24,MATCH($B14,Order_Data!$A$5:$A$24,0))</f>
        <v>Medium</v>
      </c>
      <c r="F14" s="27" t="n">
        <f aca="false">INDEX(Order_Data!$E$5:$E$24,MATCH($B14,Order_Data!$A$5:$A$24,0))</f>
        <v>500</v>
      </c>
      <c r="G14" s="28" t="n">
        <f aca="false">INDEX(Order_Data!$F$5:$F$24,MATCH($B14,Order_Data!$A$5:$A$24,0))</f>
        <v>46303</v>
      </c>
      <c r="H14" s="25" t="str">
        <f aca="false">INDEX(Order_Data!$G$5:$G$24,MATCH($B14,Order_Data!$A$5:$A$24,0))</f>
        <v>Standard</v>
      </c>
      <c r="I14" s="25" t="n">
        <f aca="false">INDEX(Changeover_Matrix!$B$5:$G$10,MATCH(E13,Changeover_Matrix!$A$5:$A$10,0),MATCH(E14,Changeover_Matrix!$B$4:$G$4,0))</f>
        <v>15</v>
      </c>
      <c r="J14" s="29" t="n">
        <f aca="false">F14/$Q$5</f>
        <v>62.5</v>
      </c>
      <c r="K14" s="29" t="n">
        <f aca="false">K13+I14+J14</f>
        <v>633.75</v>
      </c>
      <c r="L14" s="25" t="n">
        <f aca="false">G14-$Q$7+1</f>
        <v>3</v>
      </c>
      <c r="M14" s="25" t="n">
        <f aca="false">CEILING(K14/$Q$6,1)</f>
        <v>1</v>
      </c>
      <c r="N14" s="30" t="str">
        <f aca="false">IF(M14&lt;=L14,"On Time","Late")</f>
        <v>On Time</v>
      </c>
      <c r="Q14" s="32"/>
      <c r="R14" s="32"/>
      <c r="S14" s="32"/>
      <c r="T14" s="32"/>
    </row>
    <row r="15" customFormat="false" ht="15" hidden="false" customHeight="true" outlineLevel="0" collapsed="false">
      <c r="A15" s="17" t="n">
        <v>11</v>
      </c>
      <c r="B15" s="18" t="s">
        <v>86</v>
      </c>
      <c r="C15" s="17" t="str">
        <f aca="false">INDEX(Order_Data!$B$5:$B$24,MATCH($B15,Order_Data!$A$5:$A$24,0))</f>
        <v>Apex Labels</v>
      </c>
      <c r="D15" s="17" t="str">
        <f aca="false">INDEX(Order_Data!$C$5:$C$24,MATCH($B15,Order_Data!$A$5:$A$24,0))</f>
        <v>Flexo Ink - Magenta</v>
      </c>
      <c r="E15" s="17" t="str">
        <f aca="false">INDEX(Order_Data!$D$5:$D$24,MATCH($B15,Order_Data!$A$5:$A$24,0))</f>
        <v>Medium</v>
      </c>
      <c r="F15" s="19" t="n">
        <f aca="false">INDEX(Order_Data!$E$5:$E$24,MATCH($B15,Order_Data!$A$5:$A$24,0))</f>
        <v>450</v>
      </c>
      <c r="G15" s="20" t="n">
        <f aca="false">INDEX(Order_Data!$F$5:$F$24,MATCH($B15,Order_Data!$A$5:$A$24,0))</f>
        <v>46305</v>
      </c>
      <c r="H15" s="17" t="str">
        <f aca="false">INDEX(Order_Data!$G$5:$G$24,MATCH($B15,Order_Data!$A$5:$A$24,0))</f>
        <v>Standard</v>
      </c>
      <c r="I15" s="17" t="n">
        <f aca="false">INDEX(Changeover_Matrix!$B$5:$G$10,MATCH(E14,Changeover_Matrix!$A$5:$A$10,0),MATCH(E15,Changeover_Matrix!$B$4:$G$4,0))</f>
        <v>15</v>
      </c>
      <c r="J15" s="21" t="n">
        <f aca="false">F15/$Q$5</f>
        <v>56.25</v>
      </c>
      <c r="K15" s="21" t="n">
        <f aca="false">K14+I15+J15</f>
        <v>705</v>
      </c>
      <c r="L15" s="17" t="n">
        <f aca="false">G15-$Q$7+1</f>
        <v>5</v>
      </c>
      <c r="M15" s="17" t="n">
        <f aca="false">CEILING(K15/$Q$6,1)</f>
        <v>1</v>
      </c>
      <c r="N15" s="22" t="str">
        <f aca="false">IF(M15&lt;=L15,"On Time","Late")</f>
        <v>On Time</v>
      </c>
    </row>
    <row r="16" customFormat="false" ht="15" hidden="false" customHeight="true" outlineLevel="0" collapsed="false">
      <c r="A16" s="25" t="n">
        <v>12</v>
      </c>
      <c r="B16" s="26" t="s">
        <v>61</v>
      </c>
      <c r="C16" s="25" t="str">
        <f aca="false">INDEX(Order_Data!$B$5:$B$24,MATCH($B16,Order_Data!$A$5:$A$24,0))</f>
        <v>Sunrise FlexiPack</v>
      </c>
      <c r="D16" s="25" t="str">
        <f aca="false">INDEX(Order_Data!$C$5:$C$24,MATCH($B16,Order_Data!$A$5:$A$24,0))</f>
        <v>Flexo Ink - Deep Blue</v>
      </c>
      <c r="E16" s="25" t="str">
        <f aca="false">INDEX(Order_Data!$D$5:$D$24,MATCH($B16,Order_Data!$A$5:$A$24,0))</f>
        <v>Dark</v>
      </c>
      <c r="F16" s="27" t="n">
        <f aca="false">INDEX(Order_Data!$E$5:$E$24,MATCH($B16,Order_Data!$A$5:$A$24,0))</f>
        <v>700</v>
      </c>
      <c r="G16" s="28" t="n">
        <f aca="false">INDEX(Order_Data!$F$5:$F$24,MATCH($B16,Order_Data!$A$5:$A$24,0))</f>
        <v>46302</v>
      </c>
      <c r="H16" s="25" t="str">
        <f aca="false">INDEX(Order_Data!$G$5:$G$24,MATCH($B16,Order_Data!$A$5:$A$24,0))</f>
        <v>Standard</v>
      </c>
      <c r="I16" s="25" t="n">
        <f aca="false">INDEX(Changeover_Matrix!$B$5:$G$10,MATCH(E15,Changeover_Matrix!$A$5:$A$10,0),MATCH(E16,Changeover_Matrix!$B$4:$G$4,0))</f>
        <v>30</v>
      </c>
      <c r="J16" s="29" t="n">
        <f aca="false">F16/$Q$5</f>
        <v>87.5</v>
      </c>
      <c r="K16" s="29" t="n">
        <f aca="false">K15+I16+J16</f>
        <v>822.5</v>
      </c>
      <c r="L16" s="25" t="n">
        <f aca="false">G16-$Q$7+1</f>
        <v>2</v>
      </c>
      <c r="M16" s="25" t="n">
        <f aca="false">CEILING(K16/$Q$6,1)</f>
        <v>1</v>
      </c>
      <c r="N16" s="30" t="str">
        <f aca="false">IF(M16&lt;=L16,"On Time","Late")</f>
        <v>On Time</v>
      </c>
    </row>
    <row r="17" customFormat="false" ht="15" hidden="false" customHeight="true" outlineLevel="0" collapsed="false">
      <c r="A17" s="17" t="n">
        <v>13</v>
      </c>
      <c r="B17" s="18" t="s">
        <v>72</v>
      </c>
      <c r="C17" s="17" t="str">
        <f aca="false">INDEX(Order_Data!$B$5:$B$24,MATCH($B17,Order_Data!$A$5:$A$24,0))</f>
        <v>Om Flexibles</v>
      </c>
      <c r="D17" s="17" t="str">
        <f aca="false">INDEX(Order_Data!$C$5:$C$24,MATCH($B17,Order_Data!$A$5:$A$24,0))</f>
        <v>Flexo Ink - Maroon</v>
      </c>
      <c r="E17" s="17" t="str">
        <f aca="false">INDEX(Order_Data!$D$5:$D$24,MATCH($B17,Order_Data!$A$5:$A$24,0))</f>
        <v>Dark</v>
      </c>
      <c r="F17" s="19" t="n">
        <f aca="false">INDEX(Order_Data!$E$5:$E$24,MATCH($B17,Order_Data!$A$5:$A$24,0))</f>
        <v>450</v>
      </c>
      <c r="G17" s="20" t="n">
        <f aca="false">INDEX(Order_Data!$F$5:$F$24,MATCH($B17,Order_Data!$A$5:$A$24,0))</f>
        <v>46303</v>
      </c>
      <c r="H17" s="17" t="str">
        <f aca="false">INDEX(Order_Data!$G$5:$G$24,MATCH($B17,Order_Data!$A$5:$A$24,0))</f>
        <v>Standard</v>
      </c>
      <c r="I17" s="17" t="n">
        <f aca="false">INDEX(Changeover_Matrix!$B$5:$G$10,MATCH(E16,Changeover_Matrix!$A$5:$A$10,0),MATCH(E17,Changeover_Matrix!$B$4:$G$4,0))</f>
        <v>15</v>
      </c>
      <c r="J17" s="21" t="n">
        <f aca="false">F17/$Q$5</f>
        <v>56.25</v>
      </c>
      <c r="K17" s="21" t="n">
        <f aca="false">K16+I17+J17</f>
        <v>893.75</v>
      </c>
      <c r="L17" s="17" t="n">
        <f aca="false">G17-$Q$7+1</f>
        <v>3</v>
      </c>
      <c r="M17" s="17" t="n">
        <f aca="false">CEILING(K17/$Q$6,1)</f>
        <v>1</v>
      </c>
      <c r="N17" s="22" t="str">
        <f aca="false">IF(M17&lt;=L17,"On Time","Late")</f>
        <v>On Time</v>
      </c>
    </row>
    <row r="18" customFormat="false" ht="15" hidden="false" customHeight="true" outlineLevel="0" collapsed="false">
      <c r="A18" s="25" t="n">
        <v>14</v>
      </c>
      <c r="B18" s="26" t="s">
        <v>82</v>
      </c>
      <c r="C18" s="25" t="str">
        <f aca="false">INDEX(Order_Data!$B$5:$B$24,MATCH($B18,Order_Data!$A$5:$A$24,0))</f>
        <v>Om Flexibles</v>
      </c>
      <c r="D18" s="25" t="str">
        <f aca="false">INDEX(Order_Data!$C$5:$C$24,MATCH($B18,Order_Data!$A$5:$A$24,0))</f>
        <v>Solvent Ink - Deep Blue</v>
      </c>
      <c r="E18" s="25" t="str">
        <f aca="false">INDEX(Order_Data!$D$5:$D$24,MATCH($B18,Order_Data!$A$5:$A$24,0))</f>
        <v>Dark</v>
      </c>
      <c r="F18" s="27" t="n">
        <f aca="false">INDEX(Order_Data!$E$5:$E$24,MATCH($B18,Order_Data!$A$5:$A$24,0))</f>
        <v>500</v>
      </c>
      <c r="G18" s="28" t="n">
        <f aca="false">INDEX(Order_Data!$F$5:$F$24,MATCH($B18,Order_Data!$A$5:$A$24,0))</f>
        <v>46304</v>
      </c>
      <c r="H18" s="25" t="str">
        <f aca="false">INDEX(Order_Data!$G$5:$G$24,MATCH($B18,Order_Data!$A$5:$A$24,0))</f>
        <v>Standard</v>
      </c>
      <c r="I18" s="25" t="n">
        <f aca="false">INDEX(Changeover_Matrix!$B$5:$G$10,MATCH(E17,Changeover_Matrix!$A$5:$A$10,0),MATCH(E18,Changeover_Matrix!$B$4:$G$4,0))</f>
        <v>15</v>
      </c>
      <c r="J18" s="29" t="n">
        <f aca="false">F18/$Q$5</f>
        <v>62.5</v>
      </c>
      <c r="K18" s="29" t="n">
        <f aca="false">K17+I18+J18</f>
        <v>971.25</v>
      </c>
      <c r="L18" s="25" t="n">
        <f aca="false">G18-$Q$7+1</f>
        <v>4</v>
      </c>
      <c r="M18" s="25" t="n">
        <f aca="false">CEILING(K18/$Q$6,1)</f>
        <v>2</v>
      </c>
      <c r="N18" s="30" t="str">
        <f aca="false">IF(M18&lt;=L18,"On Time","Late")</f>
        <v>On Time</v>
      </c>
    </row>
    <row r="19" customFormat="false" ht="15" hidden="false" customHeight="true" outlineLevel="0" collapsed="false">
      <c r="A19" s="17" t="n">
        <v>15</v>
      </c>
      <c r="B19" s="18" t="s">
        <v>79</v>
      </c>
      <c r="C19" s="17" t="str">
        <f aca="false">INDEX(Order_Data!$B$5:$B$24,MATCH($B19,Order_Data!$A$5:$A$24,0))</f>
        <v>Trident Packaging</v>
      </c>
      <c r="D19" s="17" t="str">
        <f aca="false">INDEX(Order_Data!$C$5:$C$24,MATCH($B19,Order_Data!$A$5:$A$24,0))</f>
        <v>UV Ink - Black</v>
      </c>
      <c r="E19" s="17" t="str">
        <f aca="false">INDEX(Order_Data!$D$5:$D$24,MATCH($B19,Order_Data!$A$5:$A$24,0))</f>
        <v>Black</v>
      </c>
      <c r="F19" s="19" t="n">
        <f aca="false">INDEX(Order_Data!$E$5:$E$24,MATCH($B19,Order_Data!$A$5:$A$24,0))</f>
        <v>650</v>
      </c>
      <c r="G19" s="20" t="n">
        <f aca="false">INDEX(Order_Data!$F$5:$F$24,MATCH($B19,Order_Data!$A$5:$A$24,0))</f>
        <v>46301</v>
      </c>
      <c r="H19" s="17" t="str">
        <f aca="false">INDEX(Order_Data!$G$5:$G$24,MATCH($B19,Order_Data!$A$5:$A$24,0))</f>
        <v>Rush</v>
      </c>
      <c r="I19" s="17" t="n">
        <f aca="false">INDEX(Changeover_Matrix!$B$5:$G$10,MATCH(E18,Changeover_Matrix!$A$5:$A$10,0),MATCH(E19,Changeover_Matrix!$B$4:$G$4,0))</f>
        <v>30</v>
      </c>
      <c r="J19" s="21" t="n">
        <f aca="false">F19/$Q$5</f>
        <v>81.25</v>
      </c>
      <c r="K19" s="21" t="n">
        <f aca="false">K18+I19+J19</f>
        <v>1082.5</v>
      </c>
      <c r="L19" s="17" t="n">
        <f aca="false">G19-$Q$7+1</f>
        <v>1</v>
      </c>
      <c r="M19" s="17" t="n">
        <f aca="false">CEILING(K19/$Q$6,1)</f>
        <v>2</v>
      </c>
      <c r="N19" s="22" t="str">
        <f aca="false">IF(M19&lt;=L19,"On Time","Late")</f>
        <v>Late</v>
      </c>
    </row>
    <row r="20" customFormat="false" ht="15" hidden="false" customHeight="true" outlineLevel="0" collapsed="false">
      <c r="A20" s="25" t="n">
        <v>16</v>
      </c>
      <c r="B20" s="26" t="s">
        <v>46</v>
      </c>
      <c r="C20" s="25" t="str">
        <f aca="false">INDEX(Order_Data!$B$5:$B$24,MATCH($B20,Order_Data!$A$5:$A$24,0))</f>
        <v>NorthStar Converters</v>
      </c>
      <c r="D20" s="25" t="str">
        <f aca="false">INDEX(Order_Data!$C$5:$C$24,MATCH($B20,Order_Data!$A$5:$A$24,0))</f>
        <v>Solvent Ink - Black</v>
      </c>
      <c r="E20" s="25" t="str">
        <f aca="false">INDEX(Order_Data!$D$5:$D$24,MATCH($B20,Order_Data!$A$5:$A$24,0))</f>
        <v>Black</v>
      </c>
      <c r="F20" s="27" t="n">
        <f aca="false">INDEX(Order_Data!$E$5:$E$24,MATCH($B20,Order_Data!$A$5:$A$24,0))</f>
        <v>600</v>
      </c>
      <c r="G20" s="28" t="n">
        <f aca="false">INDEX(Order_Data!$F$5:$F$24,MATCH($B20,Order_Data!$A$5:$A$24,0))</f>
        <v>46302</v>
      </c>
      <c r="H20" s="25" t="str">
        <f aca="false">INDEX(Order_Data!$G$5:$G$24,MATCH($B20,Order_Data!$A$5:$A$24,0))</f>
        <v>Standard</v>
      </c>
      <c r="I20" s="25" t="n">
        <f aca="false">INDEX(Changeover_Matrix!$B$5:$G$10,MATCH(E19,Changeover_Matrix!$A$5:$A$10,0),MATCH(E20,Changeover_Matrix!$B$4:$G$4,0))</f>
        <v>15</v>
      </c>
      <c r="J20" s="29" t="n">
        <f aca="false">F20/$Q$5</f>
        <v>75</v>
      </c>
      <c r="K20" s="29" t="n">
        <f aca="false">K19+I20+J20</f>
        <v>1172.5</v>
      </c>
      <c r="L20" s="25" t="n">
        <f aca="false">G20-$Q$7+1</f>
        <v>2</v>
      </c>
      <c r="M20" s="25" t="n">
        <f aca="false">CEILING(K20/$Q$6,1)</f>
        <v>2</v>
      </c>
      <c r="N20" s="30" t="str">
        <f aca="false">IF(M20&lt;=L20,"On Time","Late")</f>
        <v>On Time</v>
      </c>
    </row>
    <row r="21" customFormat="false" ht="15" hidden="false" customHeight="true" outlineLevel="0" collapsed="false">
      <c r="A21" s="17" t="n">
        <v>17</v>
      </c>
      <c r="B21" s="18" t="s">
        <v>68</v>
      </c>
      <c r="C21" s="17" t="str">
        <f aca="false">INDEX(Order_Data!$B$5:$B$24,MATCH($B21,Order_Data!$A$5:$A$24,0))</f>
        <v>Trident Packaging</v>
      </c>
      <c r="D21" s="17" t="str">
        <f aca="false">INDEX(Order_Data!$C$5:$C$24,MATCH($B21,Order_Data!$A$5:$A$24,0))</f>
        <v>Gravure Ink - Black</v>
      </c>
      <c r="E21" s="17" t="str">
        <f aca="false">INDEX(Order_Data!$D$5:$D$24,MATCH($B21,Order_Data!$A$5:$A$24,0))</f>
        <v>Black</v>
      </c>
      <c r="F21" s="19" t="n">
        <f aca="false">INDEX(Order_Data!$E$5:$E$24,MATCH($B21,Order_Data!$A$5:$A$24,0))</f>
        <v>550</v>
      </c>
      <c r="G21" s="20" t="n">
        <f aca="false">INDEX(Order_Data!$F$5:$F$24,MATCH($B21,Order_Data!$A$5:$A$24,0))</f>
        <v>46304</v>
      </c>
      <c r="H21" s="17" t="str">
        <f aca="false">INDEX(Order_Data!$G$5:$G$24,MATCH($B21,Order_Data!$A$5:$A$24,0))</f>
        <v>Standard</v>
      </c>
      <c r="I21" s="17" t="n">
        <f aca="false">INDEX(Changeover_Matrix!$B$5:$G$10,MATCH(E20,Changeover_Matrix!$A$5:$A$10,0),MATCH(E21,Changeover_Matrix!$B$4:$G$4,0))</f>
        <v>15</v>
      </c>
      <c r="J21" s="21" t="n">
        <f aca="false">F21/$Q$5</f>
        <v>68.75</v>
      </c>
      <c r="K21" s="21" t="n">
        <f aca="false">K20+I21+J21</f>
        <v>1256.25</v>
      </c>
      <c r="L21" s="17" t="n">
        <f aca="false">G21-$Q$7+1</f>
        <v>4</v>
      </c>
      <c r="M21" s="17" t="n">
        <f aca="false">CEILING(K21/$Q$6,1)</f>
        <v>2</v>
      </c>
      <c r="N21" s="22" t="str">
        <f aca="false">IF(M21&lt;=L21,"On Time","Late")</f>
        <v>On Time</v>
      </c>
    </row>
    <row r="22" customFormat="false" ht="15" hidden="false" customHeight="true" outlineLevel="0" collapsed="false">
      <c r="A22" s="25" t="n">
        <v>18</v>
      </c>
      <c r="B22" s="26" t="s">
        <v>57</v>
      </c>
      <c r="C22" s="25" t="str">
        <f aca="false">INDEX(Order_Data!$B$5:$B$24,MATCH($B22,Order_Data!$A$5:$A$24,0))</f>
        <v>Om Flexibles</v>
      </c>
      <c r="D22" s="25" t="str">
        <f aca="false">INDEX(Order_Data!$C$5:$C$24,MATCH($B22,Order_Data!$A$5:$A$24,0))</f>
        <v>UV Ink - Silver</v>
      </c>
      <c r="E22" s="25" t="str">
        <f aca="false">INDEX(Order_Data!$D$5:$D$24,MATCH($B22,Order_Data!$A$5:$A$24,0))</f>
        <v>Metallic</v>
      </c>
      <c r="F22" s="27" t="n">
        <f aca="false">INDEX(Order_Data!$E$5:$E$24,MATCH($B22,Order_Data!$A$5:$A$24,0))</f>
        <v>200</v>
      </c>
      <c r="G22" s="28" t="n">
        <f aca="false">INDEX(Order_Data!$F$5:$F$24,MATCH($B22,Order_Data!$A$5:$A$24,0))</f>
        <v>46302</v>
      </c>
      <c r="H22" s="25" t="str">
        <f aca="false">INDEX(Order_Data!$G$5:$G$24,MATCH($B22,Order_Data!$A$5:$A$24,0))</f>
        <v>Rush</v>
      </c>
      <c r="I22" s="25" t="n">
        <f aca="false">INDEX(Changeover_Matrix!$B$5:$G$10,MATCH(E21,Changeover_Matrix!$A$5:$A$10,0),MATCH(E22,Changeover_Matrix!$B$4:$G$4,0))</f>
        <v>60</v>
      </c>
      <c r="J22" s="29" t="n">
        <f aca="false">F22/$Q$5</f>
        <v>25</v>
      </c>
      <c r="K22" s="29" t="n">
        <f aca="false">K21+I22+J22</f>
        <v>1341.25</v>
      </c>
      <c r="L22" s="25" t="n">
        <f aca="false">G22-$Q$7+1</f>
        <v>2</v>
      </c>
      <c r="M22" s="25" t="n">
        <f aca="false">CEILING(K22/$Q$6,1)</f>
        <v>2</v>
      </c>
      <c r="N22" s="30" t="str">
        <f aca="false">IF(M22&lt;=L22,"On Time","Late")</f>
        <v>On Time</v>
      </c>
    </row>
    <row r="23" customFormat="false" ht="15" hidden="false" customHeight="true" outlineLevel="0" collapsed="false">
      <c r="A23" s="17" t="n">
        <v>19</v>
      </c>
      <c r="B23" s="18" t="s">
        <v>84</v>
      </c>
      <c r="C23" s="17" t="str">
        <f aca="false">INDEX(Order_Data!$B$5:$B$24,MATCH($B23,Order_Data!$A$5:$A$24,0))</f>
        <v>Sunrise FlexiPack</v>
      </c>
      <c r="D23" s="17" t="str">
        <f aca="false">INDEX(Order_Data!$C$5:$C$24,MATCH($B23,Order_Data!$A$5:$A$24,0))</f>
        <v>Gravure Ink - Silver</v>
      </c>
      <c r="E23" s="17" t="str">
        <f aca="false">INDEX(Order_Data!$D$5:$D$24,MATCH($B23,Order_Data!$A$5:$A$24,0))</f>
        <v>Metallic</v>
      </c>
      <c r="F23" s="19" t="n">
        <f aca="false">INDEX(Order_Data!$E$5:$E$24,MATCH($B23,Order_Data!$A$5:$A$24,0))</f>
        <v>300</v>
      </c>
      <c r="G23" s="20" t="n">
        <f aca="false">INDEX(Order_Data!$F$5:$F$24,MATCH($B23,Order_Data!$A$5:$A$24,0))</f>
        <v>46303</v>
      </c>
      <c r="H23" s="17" t="str">
        <f aca="false">INDEX(Order_Data!$G$5:$G$24,MATCH($B23,Order_Data!$A$5:$A$24,0))</f>
        <v>Standard</v>
      </c>
      <c r="I23" s="17" t="n">
        <f aca="false">INDEX(Changeover_Matrix!$B$5:$G$10,MATCH(E22,Changeover_Matrix!$A$5:$A$10,0),MATCH(E23,Changeover_Matrix!$B$4:$G$4,0))</f>
        <v>15</v>
      </c>
      <c r="J23" s="21" t="n">
        <f aca="false">F23/$Q$5</f>
        <v>37.5</v>
      </c>
      <c r="K23" s="21" t="n">
        <f aca="false">K22+I23+J23</f>
        <v>1393.75</v>
      </c>
      <c r="L23" s="17" t="n">
        <f aca="false">G23-$Q$7+1</f>
        <v>3</v>
      </c>
      <c r="M23" s="17" t="n">
        <f aca="false">CEILING(K23/$Q$6,1)</f>
        <v>2</v>
      </c>
      <c r="N23" s="22" t="str">
        <f aca="false">IF(M23&lt;=L23,"On Time","Late")</f>
        <v>On Time</v>
      </c>
    </row>
    <row r="24" customFormat="false" ht="15" hidden="false" customHeight="true" outlineLevel="0" collapsed="false">
      <c r="A24" s="25" t="n">
        <v>20</v>
      </c>
      <c r="B24" s="26" t="s">
        <v>74</v>
      </c>
      <c r="C24" s="25" t="str">
        <f aca="false">INDEX(Order_Data!$B$5:$B$24,MATCH($B24,Order_Data!$A$5:$A$24,0))</f>
        <v>Sunrise FlexiPack</v>
      </c>
      <c r="D24" s="25" t="str">
        <f aca="false">INDEX(Order_Data!$C$5:$C$24,MATCH($B24,Order_Data!$A$5:$A$24,0))</f>
        <v>Solvent Ink - Gold</v>
      </c>
      <c r="E24" s="25" t="str">
        <f aca="false">INDEX(Order_Data!$D$5:$D$24,MATCH($B24,Order_Data!$A$5:$A$24,0))</f>
        <v>Metallic</v>
      </c>
      <c r="F24" s="27" t="n">
        <f aca="false">INDEX(Order_Data!$E$5:$E$24,MATCH($B24,Order_Data!$A$5:$A$24,0))</f>
        <v>250</v>
      </c>
      <c r="G24" s="28" t="n">
        <f aca="false">INDEX(Order_Data!$F$5:$F$24,MATCH($B24,Order_Data!$A$5:$A$24,0))</f>
        <v>46304</v>
      </c>
      <c r="H24" s="25" t="str">
        <f aca="false">INDEX(Order_Data!$G$5:$G$24,MATCH($B24,Order_Data!$A$5:$A$24,0))</f>
        <v>Standard</v>
      </c>
      <c r="I24" s="25" t="n">
        <f aca="false">INDEX(Changeover_Matrix!$B$5:$G$10,MATCH(E23,Changeover_Matrix!$A$5:$A$10,0),MATCH(E24,Changeover_Matrix!$B$4:$G$4,0))</f>
        <v>15</v>
      </c>
      <c r="J24" s="29" t="n">
        <f aca="false">F24/$Q$5</f>
        <v>31.25</v>
      </c>
      <c r="K24" s="29" t="n">
        <f aca="false">K23+I24+J24</f>
        <v>1440</v>
      </c>
      <c r="L24" s="25" t="n">
        <f aca="false">G24-$Q$7+1</f>
        <v>4</v>
      </c>
      <c r="M24" s="25" t="n">
        <f aca="false">CEILING(K24/$Q$6,1)</f>
        <v>2</v>
      </c>
      <c r="N24" s="30" t="str">
        <f aca="false">IF(M24&lt;=L24,"On Time","Late")</f>
        <v>On Time</v>
      </c>
    </row>
  </sheetData>
  <mergeCells count="3">
    <mergeCell ref="A1:H1"/>
    <mergeCell ref="A2:H2"/>
    <mergeCell ref="Q9:T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4" min="3" style="1" width="20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10" min="8" style="1" width="10"/>
    <col collapsed="false" customWidth="true" hidden="false" outlineLevel="0" max="11" min="11" style="1" width="12"/>
    <col collapsed="false" customWidth="true" hidden="false" outlineLevel="0" max="13" min="12" style="1" width="8"/>
    <col collapsed="false" customWidth="true" hidden="false" outlineLevel="0" max="14" min="14" style="1" width="9"/>
    <col collapsed="false" customWidth="true" hidden="false" outlineLevel="0" max="16" min="16" style="1" width="22"/>
    <col collapsed="false" customWidth="true" hidden="false" outlineLevel="0" max="17" min="17" style="1" width="10"/>
  </cols>
  <sheetData>
    <row r="1" customFormat="false" ht="27.75" hidden="false" customHeight="true" outlineLevel="0" collapsed="false">
      <c r="A1" s="2" t="s">
        <v>111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112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16" t="s">
        <v>93</v>
      </c>
      <c r="B4" s="16" t="s">
        <v>29</v>
      </c>
      <c r="C4" s="16" t="s">
        <v>30</v>
      </c>
      <c r="D4" s="16" t="s">
        <v>31</v>
      </c>
      <c r="E4" s="16" t="s">
        <v>94</v>
      </c>
      <c r="F4" s="16" t="s">
        <v>95</v>
      </c>
      <c r="G4" s="16" t="s">
        <v>96</v>
      </c>
      <c r="H4" s="16" t="s">
        <v>35</v>
      </c>
      <c r="I4" s="16" t="s">
        <v>97</v>
      </c>
      <c r="J4" s="16" t="s">
        <v>98</v>
      </c>
      <c r="K4" s="16" t="s">
        <v>99</v>
      </c>
      <c r="L4" s="16" t="s">
        <v>100</v>
      </c>
      <c r="M4" s="16" t="s">
        <v>101</v>
      </c>
      <c r="N4" s="16" t="s">
        <v>102</v>
      </c>
      <c r="P4" s="5" t="s">
        <v>20</v>
      </c>
    </row>
    <row r="5" customFormat="false" ht="15" hidden="false" customHeight="true" outlineLevel="0" collapsed="false">
      <c r="A5" s="17" t="n">
        <v>1</v>
      </c>
      <c r="B5" s="18" t="s">
        <v>41</v>
      </c>
      <c r="C5" s="17" t="str">
        <f aca="false">INDEX(Order_Data!$B$5:$B$24,MATCH($B5,Order_Data!$A$5:$A$24,0))</f>
        <v>Apex Labels</v>
      </c>
      <c r="D5" s="17" t="str">
        <f aca="false">INDEX(Order_Data!$C$5:$C$24,MATCH($B5,Order_Data!$A$5:$A$24,0))</f>
        <v>UV Ink - White</v>
      </c>
      <c r="E5" s="17" t="str">
        <f aca="false">INDEX(Order_Data!$D$5:$D$24,MATCH($B5,Order_Data!$A$5:$A$24,0))</f>
        <v>White</v>
      </c>
      <c r="F5" s="19" t="n">
        <f aca="false">INDEX(Order_Data!$E$5:$E$24,MATCH($B5,Order_Data!$A$5:$A$24,0))</f>
        <v>300</v>
      </c>
      <c r="G5" s="20" t="n">
        <f aca="false">INDEX(Order_Data!$F$5:$F$24,MATCH($B5,Order_Data!$A$5:$A$24,0))</f>
        <v>46301</v>
      </c>
      <c r="H5" s="17" t="str">
        <f aca="false">INDEX(Order_Data!$G$5:$G$24,MATCH($B5,Order_Data!$A$5:$A$24,0))</f>
        <v>Rush</v>
      </c>
      <c r="I5" s="17" t="s">
        <v>103</v>
      </c>
      <c r="J5" s="21" t="n">
        <f aca="false">F5/$Q$5</f>
        <v>37.5</v>
      </c>
      <c r="K5" s="21" t="n">
        <f aca="false">I5+J5</f>
        <v>37.5</v>
      </c>
      <c r="L5" s="17" t="n">
        <f aca="false">G5-$Q$7+1</f>
        <v>1</v>
      </c>
      <c r="M5" s="17" t="n">
        <f aca="false">CEILING(K5/$Q$6,1)</f>
        <v>1</v>
      </c>
      <c r="N5" s="22" t="str">
        <f aca="false">IF(M5&lt;=L5,"On Time","Late")</f>
        <v>On Time</v>
      </c>
      <c r="P5" s="23" t="s">
        <v>104</v>
      </c>
      <c r="Q5" s="24" t="n">
        <v>8</v>
      </c>
    </row>
    <row r="6" customFormat="false" ht="15" hidden="false" customHeight="true" outlineLevel="0" collapsed="false">
      <c r="A6" s="25" t="n">
        <v>2</v>
      </c>
      <c r="B6" s="26" t="s">
        <v>70</v>
      </c>
      <c r="C6" s="25" t="str">
        <f aca="false">INDEX(Order_Data!$B$5:$B$24,MATCH($B6,Order_Data!$A$5:$A$24,0))</f>
        <v>Kavya Print Solutions</v>
      </c>
      <c r="D6" s="25" t="str">
        <f aca="false">INDEX(Order_Data!$C$5:$C$24,MATCH($B6,Order_Data!$A$5:$A$24,0))</f>
        <v>UV Ink - Green</v>
      </c>
      <c r="E6" s="25" t="str">
        <f aca="false">INDEX(Order_Data!$D$5:$D$24,MATCH($B6,Order_Data!$A$5:$A$24,0))</f>
        <v>Medium</v>
      </c>
      <c r="F6" s="27" t="n">
        <f aca="false">INDEX(Order_Data!$E$5:$E$24,MATCH($B6,Order_Data!$A$5:$A$24,0))</f>
        <v>300</v>
      </c>
      <c r="G6" s="28" t="n">
        <f aca="false">INDEX(Order_Data!$F$5:$F$24,MATCH($B6,Order_Data!$A$5:$A$24,0))</f>
        <v>46302</v>
      </c>
      <c r="H6" s="25" t="str">
        <f aca="false">INDEX(Order_Data!$G$5:$G$24,MATCH($B6,Order_Data!$A$5:$A$24,0))</f>
        <v>Rush</v>
      </c>
      <c r="I6" s="25" t="n">
        <f aca="false">INDEX(Changeover_Matrix!$B$5:$G$10,MATCH(E5,Changeover_Matrix!$A$5:$A$10,0),MATCH(E6,Changeover_Matrix!$B$4:$G$4,0))</f>
        <v>45</v>
      </c>
      <c r="J6" s="29" t="n">
        <f aca="false">F6/$Q$5</f>
        <v>37.5</v>
      </c>
      <c r="K6" s="29" t="n">
        <f aca="false">K5+I6+J6</f>
        <v>120</v>
      </c>
      <c r="L6" s="25" t="n">
        <f aca="false">G6-$Q$7+1</f>
        <v>2</v>
      </c>
      <c r="M6" s="25" t="n">
        <f aca="false">CEILING(K6/$Q$6,1)</f>
        <v>1</v>
      </c>
      <c r="N6" s="30" t="str">
        <f aca="false">IF(M6&lt;=L6,"On Time","Late")</f>
        <v>On Time</v>
      </c>
      <c r="P6" s="23" t="s">
        <v>105</v>
      </c>
      <c r="Q6" s="24" t="n">
        <v>960</v>
      </c>
    </row>
    <row r="7" customFormat="false" ht="15" hidden="false" customHeight="true" outlineLevel="0" collapsed="false">
      <c r="A7" s="17" t="n">
        <v>3</v>
      </c>
      <c r="B7" s="18" t="s">
        <v>79</v>
      </c>
      <c r="C7" s="17" t="str">
        <f aca="false">INDEX(Order_Data!$B$5:$B$24,MATCH($B7,Order_Data!$A$5:$A$24,0))</f>
        <v>Trident Packaging</v>
      </c>
      <c r="D7" s="17" t="str">
        <f aca="false">INDEX(Order_Data!$C$5:$C$24,MATCH($B7,Order_Data!$A$5:$A$24,0))</f>
        <v>UV Ink - Black</v>
      </c>
      <c r="E7" s="17" t="str">
        <f aca="false">INDEX(Order_Data!$D$5:$D$24,MATCH($B7,Order_Data!$A$5:$A$24,0))</f>
        <v>Black</v>
      </c>
      <c r="F7" s="19" t="n">
        <f aca="false">INDEX(Order_Data!$E$5:$E$24,MATCH($B7,Order_Data!$A$5:$A$24,0))</f>
        <v>650</v>
      </c>
      <c r="G7" s="20" t="n">
        <f aca="false">INDEX(Order_Data!$F$5:$F$24,MATCH($B7,Order_Data!$A$5:$A$24,0))</f>
        <v>46301</v>
      </c>
      <c r="H7" s="17" t="str">
        <f aca="false">INDEX(Order_Data!$G$5:$G$24,MATCH($B7,Order_Data!$A$5:$A$24,0))</f>
        <v>Rush</v>
      </c>
      <c r="I7" s="17" t="n">
        <f aca="false">INDEX(Changeover_Matrix!$B$5:$G$10,MATCH(E6,Changeover_Matrix!$A$5:$A$10,0),MATCH(E7,Changeover_Matrix!$B$4:$G$4,0))</f>
        <v>45</v>
      </c>
      <c r="J7" s="21" t="n">
        <f aca="false">F7/$Q$5</f>
        <v>81.25</v>
      </c>
      <c r="K7" s="21" t="n">
        <f aca="false">K6+I7+J7</f>
        <v>246.25</v>
      </c>
      <c r="L7" s="17" t="n">
        <f aca="false">G7-$Q$7+1</f>
        <v>1</v>
      </c>
      <c r="M7" s="17" t="n">
        <f aca="false">CEILING(K7/$Q$6,1)</f>
        <v>1</v>
      </c>
      <c r="N7" s="22" t="str">
        <f aca="false">IF(M7&lt;=L7,"On Time","Late")</f>
        <v>On Time</v>
      </c>
      <c r="P7" s="23" t="s">
        <v>106</v>
      </c>
      <c r="Q7" s="31" t="n">
        <v>46301</v>
      </c>
    </row>
    <row r="8" customFormat="false" ht="15" hidden="false" customHeight="true" outlineLevel="0" collapsed="false">
      <c r="A8" s="25" t="n">
        <v>4</v>
      </c>
      <c r="B8" s="26" t="s">
        <v>57</v>
      </c>
      <c r="C8" s="25" t="str">
        <f aca="false">INDEX(Order_Data!$B$5:$B$24,MATCH($B8,Order_Data!$A$5:$A$24,0))</f>
        <v>Om Flexibles</v>
      </c>
      <c r="D8" s="25" t="str">
        <f aca="false">INDEX(Order_Data!$C$5:$C$24,MATCH($B8,Order_Data!$A$5:$A$24,0))</f>
        <v>UV Ink - Silver</v>
      </c>
      <c r="E8" s="25" t="str">
        <f aca="false">INDEX(Order_Data!$D$5:$D$24,MATCH($B8,Order_Data!$A$5:$A$24,0))</f>
        <v>Metallic</v>
      </c>
      <c r="F8" s="27" t="n">
        <f aca="false">INDEX(Order_Data!$E$5:$E$24,MATCH($B8,Order_Data!$A$5:$A$24,0))</f>
        <v>200</v>
      </c>
      <c r="G8" s="28" t="n">
        <f aca="false">INDEX(Order_Data!$F$5:$F$24,MATCH($B8,Order_Data!$A$5:$A$24,0))</f>
        <v>46302</v>
      </c>
      <c r="H8" s="25" t="str">
        <f aca="false">INDEX(Order_Data!$G$5:$G$24,MATCH($B8,Order_Data!$A$5:$A$24,0))</f>
        <v>Rush</v>
      </c>
      <c r="I8" s="25" t="n">
        <f aca="false">INDEX(Changeover_Matrix!$B$5:$G$10,MATCH(E7,Changeover_Matrix!$A$5:$A$10,0),MATCH(E8,Changeover_Matrix!$B$4:$G$4,0))</f>
        <v>60</v>
      </c>
      <c r="J8" s="29" t="n">
        <f aca="false">F8/$Q$5</f>
        <v>25</v>
      </c>
      <c r="K8" s="29" t="n">
        <f aca="false">K7+I8+J8</f>
        <v>331.25</v>
      </c>
      <c r="L8" s="25" t="n">
        <f aca="false">G8-$Q$7+1</f>
        <v>2</v>
      </c>
      <c r="M8" s="25" t="n">
        <f aca="false">CEILING(K8/$Q$6,1)</f>
        <v>1</v>
      </c>
      <c r="N8" s="30" t="str">
        <f aca="false">IF(M8&lt;=L8,"On Time","Late")</f>
        <v>On Time</v>
      </c>
    </row>
    <row r="9" customFormat="false" ht="15" hidden="false" customHeight="true" outlineLevel="0" collapsed="false">
      <c r="A9" s="17" t="n">
        <v>5</v>
      </c>
      <c r="B9" s="18" t="s">
        <v>64</v>
      </c>
      <c r="C9" s="17" t="str">
        <f aca="false">INDEX(Order_Data!$B$5:$B$24,MATCH($B9,Order_Data!$A$5:$A$24,0))</f>
        <v>Apex Labels</v>
      </c>
      <c r="D9" s="17" t="str">
        <f aca="false">INDEX(Order_Data!$C$5:$C$24,MATCH($B9,Order_Data!$A$5:$A$24,0))</f>
        <v>Solvent Ink - White</v>
      </c>
      <c r="E9" s="17" t="str">
        <f aca="false">INDEX(Order_Data!$D$5:$D$24,MATCH($B9,Order_Data!$A$5:$A$24,0))</f>
        <v>White</v>
      </c>
      <c r="F9" s="19" t="n">
        <f aca="false">INDEX(Order_Data!$E$5:$E$24,MATCH($B9,Order_Data!$A$5:$A$24,0))</f>
        <v>350</v>
      </c>
      <c r="G9" s="20" t="n">
        <f aca="false">INDEX(Order_Data!$F$5:$F$24,MATCH($B9,Order_Data!$A$5:$A$24,0))</f>
        <v>46303</v>
      </c>
      <c r="H9" s="17" t="str">
        <f aca="false">INDEX(Order_Data!$G$5:$G$24,MATCH($B9,Order_Data!$A$5:$A$24,0))</f>
        <v>Standard</v>
      </c>
      <c r="I9" s="17" t="n">
        <f aca="false">INDEX(Changeover_Matrix!$B$5:$G$10,MATCH(E8,Changeover_Matrix!$A$5:$A$10,0),MATCH(E9,Changeover_Matrix!$B$4:$G$4,0))</f>
        <v>90</v>
      </c>
      <c r="J9" s="21" t="n">
        <f aca="false">F9/$Q$5</f>
        <v>43.75</v>
      </c>
      <c r="K9" s="21" t="n">
        <f aca="false">K8+I9+J9</f>
        <v>465</v>
      </c>
      <c r="L9" s="17" t="n">
        <f aca="false">G9-$Q$7+1</f>
        <v>3</v>
      </c>
      <c r="M9" s="17" t="n">
        <f aca="false">CEILING(K9/$Q$6,1)</f>
        <v>1</v>
      </c>
      <c r="N9" s="22" t="str">
        <f aca="false">IF(M9&lt;=L9,"On Time","Late")</f>
        <v>On Time</v>
      </c>
      <c r="P9" s="5" t="s">
        <v>109</v>
      </c>
      <c r="Q9" s="32" t="s">
        <v>113</v>
      </c>
      <c r="R9" s="32"/>
      <c r="S9" s="32"/>
      <c r="T9" s="32"/>
    </row>
    <row r="10" customFormat="false" ht="15" hidden="false" customHeight="true" outlineLevel="0" collapsed="false">
      <c r="A10" s="25" t="n">
        <v>6</v>
      </c>
      <c r="B10" s="26" t="s">
        <v>77</v>
      </c>
      <c r="C10" s="25" t="str">
        <f aca="false">INDEX(Order_Data!$B$5:$B$24,MATCH($B10,Order_Data!$A$5:$A$24,0))</f>
        <v>NorthStar Converters</v>
      </c>
      <c r="D10" s="25" t="str">
        <f aca="false">INDEX(Order_Data!$C$5:$C$24,MATCH($B10,Order_Data!$A$5:$A$24,0))</f>
        <v>Gravure Ink - White</v>
      </c>
      <c r="E10" s="25" t="str">
        <f aca="false">INDEX(Order_Data!$D$5:$D$24,MATCH($B10,Order_Data!$A$5:$A$24,0))</f>
        <v>White</v>
      </c>
      <c r="F10" s="27" t="n">
        <f aca="false">INDEX(Order_Data!$E$5:$E$24,MATCH($B10,Order_Data!$A$5:$A$24,0))</f>
        <v>500</v>
      </c>
      <c r="G10" s="28" t="n">
        <f aca="false">INDEX(Order_Data!$F$5:$F$24,MATCH($B10,Order_Data!$A$5:$A$24,0))</f>
        <v>46305</v>
      </c>
      <c r="H10" s="25" t="str">
        <f aca="false">INDEX(Order_Data!$G$5:$G$24,MATCH($B10,Order_Data!$A$5:$A$24,0))</f>
        <v>Standard</v>
      </c>
      <c r="I10" s="25" t="n">
        <f aca="false">INDEX(Changeover_Matrix!$B$5:$G$10,MATCH(E9,Changeover_Matrix!$A$5:$A$10,0),MATCH(E10,Changeover_Matrix!$B$4:$G$4,0))</f>
        <v>15</v>
      </c>
      <c r="J10" s="29" t="n">
        <f aca="false">F10/$Q$5</f>
        <v>62.5</v>
      </c>
      <c r="K10" s="29" t="n">
        <f aca="false">K9+I10+J10</f>
        <v>542.5</v>
      </c>
      <c r="L10" s="25" t="n">
        <f aca="false">G10-$Q$7+1</f>
        <v>5</v>
      </c>
      <c r="M10" s="25" t="n">
        <f aca="false">CEILING(K10/$Q$6,1)</f>
        <v>1</v>
      </c>
      <c r="N10" s="30" t="str">
        <f aca="false">IF(M10&lt;=L10,"On Time","Late")</f>
        <v>On Time</v>
      </c>
      <c r="Q10" s="32"/>
      <c r="R10" s="32"/>
      <c r="S10" s="32"/>
      <c r="T10" s="32"/>
    </row>
    <row r="11" customFormat="false" ht="15" hidden="false" customHeight="true" outlineLevel="0" collapsed="false">
      <c r="A11" s="17" t="n">
        <v>7</v>
      </c>
      <c r="B11" s="18" t="s">
        <v>50</v>
      </c>
      <c r="C11" s="17" t="str">
        <f aca="false">INDEX(Order_Data!$B$5:$B$24,MATCH($B11,Order_Data!$A$5:$A$24,0))</f>
        <v>Trident Packaging</v>
      </c>
      <c r="D11" s="17" t="str">
        <f aca="false">INDEX(Order_Data!$C$5:$C$24,MATCH($B11,Order_Data!$A$5:$A$24,0))</f>
        <v>Flexo Ink - Yellow</v>
      </c>
      <c r="E11" s="17" t="str">
        <f aca="false">INDEX(Order_Data!$D$5:$D$24,MATCH($B11,Order_Data!$A$5:$A$24,0))</f>
        <v>Light</v>
      </c>
      <c r="F11" s="19" t="n">
        <f aca="false">INDEX(Order_Data!$E$5:$E$24,MATCH($B11,Order_Data!$A$5:$A$24,0))</f>
        <v>250</v>
      </c>
      <c r="G11" s="20" t="n">
        <f aca="false">INDEX(Order_Data!$F$5:$F$24,MATCH($B11,Order_Data!$A$5:$A$24,0))</f>
        <v>46301</v>
      </c>
      <c r="H11" s="17" t="str">
        <f aca="false">INDEX(Order_Data!$G$5:$G$24,MATCH($B11,Order_Data!$A$5:$A$24,0))</f>
        <v>Standard</v>
      </c>
      <c r="I11" s="17" t="n">
        <f aca="false">INDEX(Changeover_Matrix!$B$5:$G$10,MATCH(E10,Changeover_Matrix!$A$5:$A$10,0),MATCH(E11,Changeover_Matrix!$B$4:$G$4,0))</f>
        <v>30</v>
      </c>
      <c r="J11" s="21" t="n">
        <f aca="false">F11/$Q$5</f>
        <v>31.25</v>
      </c>
      <c r="K11" s="21" t="n">
        <f aca="false">K10+I11+J11</f>
        <v>603.75</v>
      </c>
      <c r="L11" s="17" t="n">
        <f aca="false">G11-$Q$7+1</f>
        <v>1</v>
      </c>
      <c r="M11" s="17" t="n">
        <f aca="false">CEILING(K11/$Q$6,1)</f>
        <v>1</v>
      </c>
      <c r="N11" s="22" t="str">
        <f aca="false">IF(M11&lt;=L11,"On Time","Late")</f>
        <v>On Time</v>
      </c>
      <c r="Q11" s="32"/>
      <c r="R11" s="32"/>
      <c r="S11" s="32"/>
      <c r="T11" s="32"/>
    </row>
    <row r="12" customFormat="false" ht="15" hidden="false" customHeight="true" outlineLevel="0" collapsed="false">
      <c r="A12" s="25" t="n">
        <v>8</v>
      </c>
      <c r="B12" s="26" t="s">
        <v>66</v>
      </c>
      <c r="C12" s="25" t="str">
        <f aca="false">INDEX(Order_Data!$B$5:$B$24,MATCH($B12,Order_Data!$A$5:$A$24,0))</f>
        <v>NorthStar Converters</v>
      </c>
      <c r="D12" s="25" t="str">
        <f aca="false">INDEX(Order_Data!$C$5:$C$24,MATCH($B12,Order_Data!$A$5:$A$24,0))</f>
        <v>Flexo Ink - Orange</v>
      </c>
      <c r="E12" s="25" t="str">
        <f aca="false">INDEX(Order_Data!$D$5:$D$24,MATCH($B12,Order_Data!$A$5:$A$24,0))</f>
        <v>Light</v>
      </c>
      <c r="F12" s="27" t="n">
        <f aca="false">INDEX(Order_Data!$E$5:$E$24,MATCH($B12,Order_Data!$A$5:$A$24,0))</f>
        <v>400</v>
      </c>
      <c r="G12" s="28" t="n">
        <f aca="false">INDEX(Order_Data!$F$5:$F$24,MATCH($B12,Order_Data!$A$5:$A$24,0))</f>
        <v>46301</v>
      </c>
      <c r="H12" s="25" t="str">
        <f aca="false">INDEX(Order_Data!$G$5:$G$24,MATCH($B12,Order_Data!$A$5:$A$24,0))</f>
        <v>Standard</v>
      </c>
      <c r="I12" s="25" t="n">
        <f aca="false">INDEX(Changeover_Matrix!$B$5:$G$10,MATCH(E11,Changeover_Matrix!$A$5:$A$10,0),MATCH(E12,Changeover_Matrix!$B$4:$G$4,0))</f>
        <v>15</v>
      </c>
      <c r="J12" s="29" t="n">
        <f aca="false">F12/$Q$5</f>
        <v>50</v>
      </c>
      <c r="K12" s="29" t="n">
        <f aca="false">K11+I12+J12</f>
        <v>668.75</v>
      </c>
      <c r="L12" s="25" t="n">
        <f aca="false">G12-$Q$7+1</f>
        <v>1</v>
      </c>
      <c r="M12" s="25" t="n">
        <f aca="false">CEILING(K12/$Q$6,1)</f>
        <v>1</v>
      </c>
      <c r="N12" s="30" t="str">
        <f aca="false">IF(M12&lt;=L12,"On Time","Late")</f>
        <v>On Time</v>
      </c>
      <c r="Q12" s="32"/>
      <c r="R12" s="32"/>
      <c r="S12" s="32"/>
      <c r="T12" s="32"/>
    </row>
    <row r="13" customFormat="false" ht="15" hidden="false" customHeight="true" outlineLevel="0" collapsed="false">
      <c r="A13" s="17" t="n">
        <v>9</v>
      </c>
      <c r="B13" s="18" t="s">
        <v>81</v>
      </c>
      <c r="C13" s="17" t="str">
        <f aca="false">INDEX(Order_Data!$B$5:$B$24,MATCH($B13,Order_Data!$A$5:$A$24,0))</f>
        <v>Kavya Print Solutions</v>
      </c>
      <c r="D13" s="17" t="str">
        <f aca="false">INDEX(Order_Data!$C$5:$C$24,MATCH($B13,Order_Data!$A$5:$A$24,0))</f>
        <v>Flexo Ink - Yellow</v>
      </c>
      <c r="E13" s="17" t="str">
        <f aca="false">INDEX(Order_Data!$D$5:$D$24,MATCH($B13,Order_Data!$A$5:$A$24,0))</f>
        <v>Light</v>
      </c>
      <c r="F13" s="19" t="n">
        <f aca="false">INDEX(Order_Data!$E$5:$E$24,MATCH($B13,Order_Data!$A$5:$A$24,0))</f>
        <v>300</v>
      </c>
      <c r="G13" s="20" t="n">
        <f aca="false">INDEX(Order_Data!$F$5:$F$24,MATCH($B13,Order_Data!$A$5:$A$24,0))</f>
        <v>46305</v>
      </c>
      <c r="H13" s="17" t="str">
        <f aca="false">INDEX(Order_Data!$G$5:$G$24,MATCH($B13,Order_Data!$A$5:$A$24,0))</f>
        <v>Standard</v>
      </c>
      <c r="I13" s="17" t="n">
        <f aca="false">INDEX(Changeover_Matrix!$B$5:$G$10,MATCH(E12,Changeover_Matrix!$A$5:$A$10,0),MATCH(E13,Changeover_Matrix!$B$4:$G$4,0))</f>
        <v>15</v>
      </c>
      <c r="J13" s="21" t="n">
        <f aca="false">F13/$Q$5</f>
        <v>37.5</v>
      </c>
      <c r="K13" s="21" t="n">
        <f aca="false">K12+I13+J13</f>
        <v>721.25</v>
      </c>
      <c r="L13" s="17" t="n">
        <f aca="false">G13-$Q$7+1</f>
        <v>5</v>
      </c>
      <c r="M13" s="17" t="n">
        <f aca="false">CEILING(K13/$Q$6,1)</f>
        <v>1</v>
      </c>
      <c r="N13" s="22" t="str">
        <f aca="false">IF(M13&lt;=L13,"On Time","Late")</f>
        <v>On Time</v>
      </c>
      <c r="Q13" s="32"/>
      <c r="R13" s="32"/>
      <c r="S13" s="32"/>
      <c r="T13" s="32"/>
    </row>
    <row r="14" customFormat="false" ht="15" hidden="false" customHeight="true" outlineLevel="0" collapsed="false">
      <c r="A14" s="25" t="n">
        <v>10</v>
      </c>
      <c r="B14" s="26" t="s">
        <v>36</v>
      </c>
      <c r="C14" s="25" t="str">
        <f aca="false">INDEX(Order_Data!$B$5:$B$24,MATCH($B14,Order_Data!$A$5:$A$24,0))</f>
        <v>Sunrise FlexiPack</v>
      </c>
      <c r="D14" s="25" t="str">
        <f aca="false">INDEX(Order_Data!$C$5:$C$24,MATCH($B14,Order_Data!$A$5:$A$24,0))</f>
        <v>Flexo Ink - Cyan</v>
      </c>
      <c r="E14" s="25" t="str">
        <f aca="false">INDEX(Order_Data!$D$5:$D$24,MATCH($B14,Order_Data!$A$5:$A$24,0))</f>
        <v>Medium</v>
      </c>
      <c r="F14" s="27" t="n">
        <f aca="false">INDEX(Order_Data!$E$5:$E$24,MATCH($B14,Order_Data!$A$5:$A$24,0))</f>
        <v>450</v>
      </c>
      <c r="G14" s="28" t="n">
        <f aca="false">INDEX(Order_Data!$F$5:$F$24,MATCH($B14,Order_Data!$A$5:$A$24,0))</f>
        <v>46301</v>
      </c>
      <c r="H14" s="25" t="str">
        <f aca="false">INDEX(Order_Data!$G$5:$G$24,MATCH($B14,Order_Data!$A$5:$A$24,0))</f>
        <v>Standard</v>
      </c>
      <c r="I14" s="25" t="n">
        <f aca="false">INDEX(Changeover_Matrix!$B$5:$G$10,MATCH(E13,Changeover_Matrix!$A$5:$A$10,0),MATCH(E14,Changeover_Matrix!$B$4:$G$4,0))</f>
        <v>30</v>
      </c>
      <c r="J14" s="29" t="n">
        <f aca="false">F14/$Q$5</f>
        <v>56.25</v>
      </c>
      <c r="K14" s="29" t="n">
        <f aca="false">K13+I14+J14</f>
        <v>807.5</v>
      </c>
      <c r="L14" s="25" t="n">
        <f aca="false">G14-$Q$7+1</f>
        <v>1</v>
      </c>
      <c r="M14" s="25" t="n">
        <f aca="false">CEILING(K14/$Q$6,1)</f>
        <v>1</v>
      </c>
      <c r="N14" s="30" t="str">
        <f aca="false">IF(M14&lt;=L14,"On Time","Late")</f>
        <v>On Time</v>
      </c>
      <c r="Q14" s="32"/>
      <c r="R14" s="32"/>
      <c r="S14" s="32"/>
      <c r="T14" s="32"/>
    </row>
    <row r="15" customFormat="false" ht="15" hidden="false" customHeight="true" outlineLevel="0" collapsed="false">
      <c r="A15" s="17" t="n">
        <v>11</v>
      </c>
      <c r="B15" s="18" t="s">
        <v>76</v>
      </c>
      <c r="C15" s="17" t="str">
        <f aca="false">INDEX(Order_Data!$B$5:$B$24,MATCH($B15,Order_Data!$A$5:$A$24,0))</f>
        <v>Apex Labels</v>
      </c>
      <c r="D15" s="17" t="str">
        <f aca="false">INDEX(Order_Data!$C$5:$C$24,MATCH($B15,Order_Data!$A$5:$A$24,0))</f>
        <v>Flexo Ink - Cyan</v>
      </c>
      <c r="E15" s="17" t="str">
        <f aca="false">INDEX(Order_Data!$D$5:$D$24,MATCH($B15,Order_Data!$A$5:$A$24,0))</f>
        <v>Medium</v>
      </c>
      <c r="F15" s="19" t="n">
        <f aca="false">INDEX(Order_Data!$E$5:$E$24,MATCH($B15,Order_Data!$A$5:$A$24,0))</f>
        <v>400</v>
      </c>
      <c r="G15" s="20" t="n">
        <f aca="false">INDEX(Order_Data!$F$5:$F$24,MATCH($B15,Order_Data!$A$5:$A$24,0))</f>
        <v>46302</v>
      </c>
      <c r="H15" s="17" t="str">
        <f aca="false">INDEX(Order_Data!$G$5:$G$24,MATCH($B15,Order_Data!$A$5:$A$24,0))</f>
        <v>Standard</v>
      </c>
      <c r="I15" s="17" t="n">
        <f aca="false">INDEX(Changeover_Matrix!$B$5:$G$10,MATCH(E14,Changeover_Matrix!$A$5:$A$10,0),MATCH(E15,Changeover_Matrix!$B$4:$G$4,0))</f>
        <v>15</v>
      </c>
      <c r="J15" s="21" t="n">
        <f aca="false">F15/$Q$5</f>
        <v>50</v>
      </c>
      <c r="K15" s="21" t="n">
        <f aca="false">K14+I15+J15</f>
        <v>872.5</v>
      </c>
      <c r="L15" s="17" t="n">
        <f aca="false">G15-$Q$7+1</f>
        <v>2</v>
      </c>
      <c r="M15" s="17" t="n">
        <f aca="false">CEILING(K15/$Q$6,1)</f>
        <v>1</v>
      </c>
      <c r="N15" s="22" t="str">
        <f aca="false">IF(M15&lt;=L15,"On Time","Late")</f>
        <v>On Time</v>
      </c>
    </row>
    <row r="16" customFormat="false" ht="15" hidden="false" customHeight="true" outlineLevel="0" collapsed="false">
      <c r="A16" s="25" t="n">
        <v>12</v>
      </c>
      <c r="B16" s="26" t="s">
        <v>54</v>
      </c>
      <c r="C16" s="25" t="str">
        <f aca="false">INDEX(Order_Data!$B$5:$B$24,MATCH($B16,Order_Data!$A$5:$A$24,0))</f>
        <v>Kavya Print Solutions</v>
      </c>
      <c r="D16" s="25" t="str">
        <f aca="false">INDEX(Order_Data!$C$5:$C$24,MATCH($B16,Order_Data!$A$5:$A$24,0))</f>
        <v>Gravure Ink - Magenta</v>
      </c>
      <c r="E16" s="25" t="str">
        <f aca="false">INDEX(Order_Data!$D$5:$D$24,MATCH($B16,Order_Data!$A$5:$A$24,0))</f>
        <v>Medium</v>
      </c>
      <c r="F16" s="27" t="n">
        <f aca="false">INDEX(Order_Data!$E$5:$E$24,MATCH($B16,Order_Data!$A$5:$A$24,0))</f>
        <v>500</v>
      </c>
      <c r="G16" s="28" t="n">
        <f aca="false">INDEX(Order_Data!$F$5:$F$24,MATCH($B16,Order_Data!$A$5:$A$24,0))</f>
        <v>46303</v>
      </c>
      <c r="H16" s="25" t="str">
        <f aca="false">INDEX(Order_Data!$G$5:$G$24,MATCH($B16,Order_Data!$A$5:$A$24,0))</f>
        <v>Standard</v>
      </c>
      <c r="I16" s="25" t="n">
        <f aca="false">INDEX(Changeover_Matrix!$B$5:$G$10,MATCH(E15,Changeover_Matrix!$A$5:$A$10,0),MATCH(E16,Changeover_Matrix!$B$4:$G$4,0))</f>
        <v>15</v>
      </c>
      <c r="J16" s="29" t="n">
        <f aca="false">F16/$Q$5</f>
        <v>62.5</v>
      </c>
      <c r="K16" s="29" t="n">
        <f aca="false">K15+I16+J16</f>
        <v>950</v>
      </c>
      <c r="L16" s="25" t="n">
        <f aca="false">G16-$Q$7+1</f>
        <v>3</v>
      </c>
      <c r="M16" s="25" t="n">
        <f aca="false">CEILING(K16/$Q$6,1)</f>
        <v>1</v>
      </c>
      <c r="N16" s="30" t="str">
        <f aca="false">IF(M16&lt;=L16,"On Time","Late")</f>
        <v>On Time</v>
      </c>
    </row>
    <row r="17" customFormat="false" ht="15" hidden="false" customHeight="true" outlineLevel="0" collapsed="false">
      <c r="A17" s="17" t="n">
        <v>13</v>
      </c>
      <c r="B17" s="18" t="s">
        <v>86</v>
      </c>
      <c r="C17" s="17" t="str">
        <f aca="false">INDEX(Order_Data!$B$5:$B$24,MATCH($B17,Order_Data!$A$5:$A$24,0))</f>
        <v>Apex Labels</v>
      </c>
      <c r="D17" s="17" t="str">
        <f aca="false">INDEX(Order_Data!$C$5:$C$24,MATCH($B17,Order_Data!$A$5:$A$24,0))</f>
        <v>Flexo Ink - Magenta</v>
      </c>
      <c r="E17" s="17" t="str">
        <f aca="false">INDEX(Order_Data!$D$5:$D$24,MATCH($B17,Order_Data!$A$5:$A$24,0))</f>
        <v>Medium</v>
      </c>
      <c r="F17" s="19" t="n">
        <f aca="false">INDEX(Order_Data!$E$5:$E$24,MATCH($B17,Order_Data!$A$5:$A$24,0))</f>
        <v>450</v>
      </c>
      <c r="G17" s="20" t="n">
        <f aca="false">INDEX(Order_Data!$F$5:$F$24,MATCH($B17,Order_Data!$A$5:$A$24,0))</f>
        <v>46305</v>
      </c>
      <c r="H17" s="17" t="str">
        <f aca="false">INDEX(Order_Data!$G$5:$G$24,MATCH($B17,Order_Data!$A$5:$A$24,0))</f>
        <v>Standard</v>
      </c>
      <c r="I17" s="17" t="n">
        <f aca="false">INDEX(Changeover_Matrix!$B$5:$G$10,MATCH(E16,Changeover_Matrix!$A$5:$A$10,0),MATCH(E17,Changeover_Matrix!$B$4:$G$4,0))</f>
        <v>15</v>
      </c>
      <c r="J17" s="21" t="n">
        <f aca="false">F17/$Q$5</f>
        <v>56.25</v>
      </c>
      <c r="K17" s="21" t="n">
        <f aca="false">K16+I17+J17</f>
        <v>1021.25</v>
      </c>
      <c r="L17" s="17" t="n">
        <f aca="false">G17-$Q$7+1</f>
        <v>5</v>
      </c>
      <c r="M17" s="17" t="n">
        <f aca="false">CEILING(K17/$Q$6,1)</f>
        <v>2</v>
      </c>
      <c r="N17" s="22" t="str">
        <f aca="false">IF(M17&lt;=L17,"On Time","Late")</f>
        <v>On Time</v>
      </c>
    </row>
    <row r="18" customFormat="false" ht="15" hidden="false" customHeight="true" outlineLevel="0" collapsed="false">
      <c r="A18" s="25" t="n">
        <v>14</v>
      </c>
      <c r="B18" s="26" t="s">
        <v>61</v>
      </c>
      <c r="C18" s="25" t="str">
        <f aca="false">INDEX(Order_Data!$B$5:$B$24,MATCH($B18,Order_Data!$A$5:$A$24,0))</f>
        <v>Sunrise FlexiPack</v>
      </c>
      <c r="D18" s="25" t="str">
        <f aca="false">INDEX(Order_Data!$C$5:$C$24,MATCH($B18,Order_Data!$A$5:$A$24,0))</f>
        <v>Flexo Ink - Deep Blue</v>
      </c>
      <c r="E18" s="25" t="str">
        <f aca="false">INDEX(Order_Data!$D$5:$D$24,MATCH($B18,Order_Data!$A$5:$A$24,0))</f>
        <v>Dark</v>
      </c>
      <c r="F18" s="27" t="n">
        <f aca="false">INDEX(Order_Data!$E$5:$E$24,MATCH($B18,Order_Data!$A$5:$A$24,0))</f>
        <v>700</v>
      </c>
      <c r="G18" s="28" t="n">
        <f aca="false">INDEX(Order_Data!$F$5:$F$24,MATCH($B18,Order_Data!$A$5:$A$24,0))</f>
        <v>46302</v>
      </c>
      <c r="H18" s="25" t="str">
        <f aca="false">INDEX(Order_Data!$G$5:$G$24,MATCH($B18,Order_Data!$A$5:$A$24,0))</f>
        <v>Standard</v>
      </c>
      <c r="I18" s="25" t="n">
        <f aca="false">INDEX(Changeover_Matrix!$B$5:$G$10,MATCH(E17,Changeover_Matrix!$A$5:$A$10,0),MATCH(E18,Changeover_Matrix!$B$4:$G$4,0))</f>
        <v>30</v>
      </c>
      <c r="J18" s="29" t="n">
        <f aca="false">F18/$Q$5</f>
        <v>87.5</v>
      </c>
      <c r="K18" s="29" t="n">
        <f aca="false">K17+I18+J18</f>
        <v>1138.75</v>
      </c>
      <c r="L18" s="25" t="n">
        <f aca="false">G18-$Q$7+1</f>
        <v>2</v>
      </c>
      <c r="M18" s="25" t="n">
        <f aca="false">CEILING(K18/$Q$6,1)</f>
        <v>2</v>
      </c>
      <c r="N18" s="30" t="str">
        <f aca="false">IF(M18&lt;=L18,"On Time","Late")</f>
        <v>On Time</v>
      </c>
    </row>
    <row r="19" customFormat="false" ht="15" hidden="false" customHeight="true" outlineLevel="0" collapsed="false">
      <c r="A19" s="17" t="n">
        <v>15</v>
      </c>
      <c r="B19" s="18" t="s">
        <v>72</v>
      </c>
      <c r="C19" s="17" t="str">
        <f aca="false">INDEX(Order_Data!$B$5:$B$24,MATCH($B19,Order_Data!$A$5:$A$24,0))</f>
        <v>Om Flexibles</v>
      </c>
      <c r="D19" s="17" t="str">
        <f aca="false">INDEX(Order_Data!$C$5:$C$24,MATCH($B19,Order_Data!$A$5:$A$24,0))</f>
        <v>Flexo Ink - Maroon</v>
      </c>
      <c r="E19" s="17" t="str">
        <f aca="false">INDEX(Order_Data!$D$5:$D$24,MATCH($B19,Order_Data!$A$5:$A$24,0))</f>
        <v>Dark</v>
      </c>
      <c r="F19" s="19" t="n">
        <f aca="false">INDEX(Order_Data!$E$5:$E$24,MATCH($B19,Order_Data!$A$5:$A$24,0))</f>
        <v>450</v>
      </c>
      <c r="G19" s="20" t="n">
        <f aca="false">INDEX(Order_Data!$F$5:$F$24,MATCH($B19,Order_Data!$A$5:$A$24,0))</f>
        <v>46303</v>
      </c>
      <c r="H19" s="17" t="str">
        <f aca="false">INDEX(Order_Data!$G$5:$G$24,MATCH($B19,Order_Data!$A$5:$A$24,0))</f>
        <v>Standard</v>
      </c>
      <c r="I19" s="17" t="n">
        <f aca="false">INDEX(Changeover_Matrix!$B$5:$G$10,MATCH(E18,Changeover_Matrix!$A$5:$A$10,0),MATCH(E19,Changeover_Matrix!$B$4:$G$4,0))</f>
        <v>15</v>
      </c>
      <c r="J19" s="21" t="n">
        <f aca="false">F19/$Q$5</f>
        <v>56.25</v>
      </c>
      <c r="K19" s="21" t="n">
        <f aca="false">K18+I19+J19</f>
        <v>1210</v>
      </c>
      <c r="L19" s="17" t="n">
        <f aca="false">G19-$Q$7+1</f>
        <v>3</v>
      </c>
      <c r="M19" s="17" t="n">
        <f aca="false">CEILING(K19/$Q$6,1)</f>
        <v>2</v>
      </c>
      <c r="N19" s="22" t="str">
        <f aca="false">IF(M19&lt;=L19,"On Time","Late")</f>
        <v>On Time</v>
      </c>
    </row>
    <row r="20" customFormat="false" ht="15" hidden="false" customHeight="true" outlineLevel="0" collapsed="false">
      <c r="A20" s="25" t="n">
        <v>16</v>
      </c>
      <c r="B20" s="26" t="s">
        <v>82</v>
      </c>
      <c r="C20" s="25" t="str">
        <f aca="false">INDEX(Order_Data!$B$5:$B$24,MATCH($B20,Order_Data!$A$5:$A$24,0))</f>
        <v>Om Flexibles</v>
      </c>
      <c r="D20" s="25" t="str">
        <f aca="false">INDEX(Order_Data!$C$5:$C$24,MATCH($B20,Order_Data!$A$5:$A$24,0))</f>
        <v>Solvent Ink - Deep Blue</v>
      </c>
      <c r="E20" s="25" t="str">
        <f aca="false">INDEX(Order_Data!$D$5:$D$24,MATCH($B20,Order_Data!$A$5:$A$24,0))</f>
        <v>Dark</v>
      </c>
      <c r="F20" s="27" t="n">
        <f aca="false">INDEX(Order_Data!$E$5:$E$24,MATCH($B20,Order_Data!$A$5:$A$24,0))</f>
        <v>500</v>
      </c>
      <c r="G20" s="28" t="n">
        <f aca="false">INDEX(Order_Data!$F$5:$F$24,MATCH($B20,Order_Data!$A$5:$A$24,0))</f>
        <v>46304</v>
      </c>
      <c r="H20" s="25" t="str">
        <f aca="false">INDEX(Order_Data!$G$5:$G$24,MATCH($B20,Order_Data!$A$5:$A$24,0))</f>
        <v>Standard</v>
      </c>
      <c r="I20" s="25" t="n">
        <f aca="false">INDEX(Changeover_Matrix!$B$5:$G$10,MATCH(E19,Changeover_Matrix!$A$5:$A$10,0),MATCH(E20,Changeover_Matrix!$B$4:$G$4,0))</f>
        <v>15</v>
      </c>
      <c r="J20" s="29" t="n">
        <f aca="false">F20/$Q$5</f>
        <v>62.5</v>
      </c>
      <c r="K20" s="29" t="n">
        <f aca="false">K19+I20+J20</f>
        <v>1287.5</v>
      </c>
      <c r="L20" s="25" t="n">
        <f aca="false">G20-$Q$7+1</f>
        <v>4</v>
      </c>
      <c r="M20" s="25" t="n">
        <f aca="false">CEILING(K20/$Q$6,1)</f>
        <v>2</v>
      </c>
      <c r="N20" s="30" t="str">
        <f aca="false">IF(M20&lt;=L20,"On Time","Late")</f>
        <v>On Time</v>
      </c>
    </row>
    <row r="21" customFormat="false" ht="15" hidden="false" customHeight="true" outlineLevel="0" collapsed="false">
      <c r="A21" s="17" t="n">
        <v>17</v>
      </c>
      <c r="B21" s="18" t="s">
        <v>46</v>
      </c>
      <c r="C21" s="17" t="str">
        <f aca="false">INDEX(Order_Data!$B$5:$B$24,MATCH($B21,Order_Data!$A$5:$A$24,0))</f>
        <v>NorthStar Converters</v>
      </c>
      <c r="D21" s="17" t="str">
        <f aca="false">INDEX(Order_Data!$C$5:$C$24,MATCH($B21,Order_Data!$A$5:$A$24,0))</f>
        <v>Solvent Ink - Black</v>
      </c>
      <c r="E21" s="17" t="str">
        <f aca="false">INDEX(Order_Data!$D$5:$D$24,MATCH($B21,Order_Data!$A$5:$A$24,0))</f>
        <v>Black</v>
      </c>
      <c r="F21" s="19" t="n">
        <f aca="false">INDEX(Order_Data!$E$5:$E$24,MATCH($B21,Order_Data!$A$5:$A$24,0))</f>
        <v>600</v>
      </c>
      <c r="G21" s="20" t="n">
        <f aca="false">INDEX(Order_Data!$F$5:$F$24,MATCH($B21,Order_Data!$A$5:$A$24,0))</f>
        <v>46302</v>
      </c>
      <c r="H21" s="17" t="str">
        <f aca="false">INDEX(Order_Data!$G$5:$G$24,MATCH($B21,Order_Data!$A$5:$A$24,0))</f>
        <v>Standard</v>
      </c>
      <c r="I21" s="17" t="n">
        <f aca="false">INDEX(Changeover_Matrix!$B$5:$G$10,MATCH(E20,Changeover_Matrix!$A$5:$A$10,0),MATCH(E21,Changeover_Matrix!$B$4:$G$4,0))</f>
        <v>30</v>
      </c>
      <c r="J21" s="21" t="n">
        <f aca="false">F21/$Q$5</f>
        <v>75</v>
      </c>
      <c r="K21" s="21" t="n">
        <f aca="false">K20+I21+J21</f>
        <v>1392.5</v>
      </c>
      <c r="L21" s="17" t="n">
        <f aca="false">G21-$Q$7+1</f>
        <v>2</v>
      </c>
      <c r="M21" s="17" t="n">
        <f aca="false">CEILING(K21/$Q$6,1)</f>
        <v>2</v>
      </c>
      <c r="N21" s="22" t="str">
        <f aca="false">IF(M21&lt;=L21,"On Time","Late")</f>
        <v>On Time</v>
      </c>
    </row>
    <row r="22" customFormat="false" ht="15" hidden="false" customHeight="true" outlineLevel="0" collapsed="false">
      <c r="A22" s="25" t="n">
        <v>18</v>
      </c>
      <c r="B22" s="26" t="s">
        <v>68</v>
      </c>
      <c r="C22" s="25" t="str">
        <f aca="false">INDEX(Order_Data!$B$5:$B$24,MATCH($B22,Order_Data!$A$5:$A$24,0))</f>
        <v>Trident Packaging</v>
      </c>
      <c r="D22" s="25" t="str">
        <f aca="false">INDEX(Order_Data!$C$5:$C$24,MATCH($B22,Order_Data!$A$5:$A$24,0))</f>
        <v>Gravure Ink - Black</v>
      </c>
      <c r="E22" s="25" t="str">
        <f aca="false">INDEX(Order_Data!$D$5:$D$24,MATCH($B22,Order_Data!$A$5:$A$24,0))</f>
        <v>Black</v>
      </c>
      <c r="F22" s="27" t="n">
        <f aca="false">INDEX(Order_Data!$E$5:$E$24,MATCH($B22,Order_Data!$A$5:$A$24,0))</f>
        <v>550</v>
      </c>
      <c r="G22" s="28" t="n">
        <f aca="false">INDEX(Order_Data!$F$5:$F$24,MATCH($B22,Order_Data!$A$5:$A$24,0))</f>
        <v>46304</v>
      </c>
      <c r="H22" s="25" t="str">
        <f aca="false">INDEX(Order_Data!$G$5:$G$24,MATCH($B22,Order_Data!$A$5:$A$24,0))</f>
        <v>Standard</v>
      </c>
      <c r="I22" s="25" t="n">
        <f aca="false">INDEX(Changeover_Matrix!$B$5:$G$10,MATCH(E21,Changeover_Matrix!$A$5:$A$10,0),MATCH(E22,Changeover_Matrix!$B$4:$G$4,0))</f>
        <v>15</v>
      </c>
      <c r="J22" s="29" t="n">
        <f aca="false">F22/$Q$5</f>
        <v>68.75</v>
      </c>
      <c r="K22" s="29" t="n">
        <f aca="false">K21+I22+J22</f>
        <v>1476.25</v>
      </c>
      <c r="L22" s="25" t="n">
        <f aca="false">G22-$Q$7+1</f>
        <v>4</v>
      </c>
      <c r="M22" s="25" t="n">
        <f aca="false">CEILING(K22/$Q$6,1)</f>
        <v>2</v>
      </c>
      <c r="N22" s="30" t="str">
        <f aca="false">IF(M22&lt;=L22,"On Time","Late")</f>
        <v>On Time</v>
      </c>
    </row>
    <row r="23" customFormat="false" ht="15" hidden="false" customHeight="true" outlineLevel="0" collapsed="false">
      <c r="A23" s="17" t="n">
        <v>19</v>
      </c>
      <c r="B23" s="18" t="s">
        <v>84</v>
      </c>
      <c r="C23" s="17" t="str">
        <f aca="false">INDEX(Order_Data!$B$5:$B$24,MATCH($B23,Order_Data!$A$5:$A$24,0))</f>
        <v>Sunrise FlexiPack</v>
      </c>
      <c r="D23" s="17" t="str">
        <f aca="false">INDEX(Order_Data!$C$5:$C$24,MATCH($B23,Order_Data!$A$5:$A$24,0))</f>
        <v>Gravure Ink - Silver</v>
      </c>
      <c r="E23" s="17" t="str">
        <f aca="false">INDEX(Order_Data!$D$5:$D$24,MATCH($B23,Order_Data!$A$5:$A$24,0))</f>
        <v>Metallic</v>
      </c>
      <c r="F23" s="19" t="n">
        <f aca="false">INDEX(Order_Data!$E$5:$E$24,MATCH($B23,Order_Data!$A$5:$A$24,0))</f>
        <v>300</v>
      </c>
      <c r="G23" s="20" t="n">
        <f aca="false">INDEX(Order_Data!$F$5:$F$24,MATCH($B23,Order_Data!$A$5:$A$24,0))</f>
        <v>46303</v>
      </c>
      <c r="H23" s="17" t="str">
        <f aca="false">INDEX(Order_Data!$G$5:$G$24,MATCH($B23,Order_Data!$A$5:$A$24,0))</f>
        <v>Standard</v>
      </c>
      <c r="I23" s="17" t="n">
        <f aca="false">INDEX(Changeover_Matrix!$B$5:$G$10,MATCH(E22,Changeover_Matrix!$A$5:$A$10,0),MATCH(E23,Changeover_Matrix!$B$4:$G$4,0))</f>
        <v>60</v>
      </c>
      <c r="J23" s="21" t="n">
        <f aca="false">F23/$Q$5</f>
        <v>37.5</v>
      </c>
      <c r="K23" s="21" t="n">
        <f aca="false">K22+I23+J23</f>
        <v>1573.75</v>
      </c>
      <c r="L23" s="17" t="n">
        <f aca="false">G23-$Q$7+1</f>
        <v>3</v>
      </c>
      <c r="M23" s="17" t="n">
        <f aca="false">CEILING(K23/$Q$6,1)</f>
        <v>2</v>
      </c>
      <c r="N23" s="22" t="str">
        <f aca="false">IF(M23&lt;=L23,"On Time","Late")</f>
        <v>On Time</v>
      </c>
    </row>
    <row r="24" customFormat="false" ht="15" hidden="false" customHeight="true" outlineLevel="0" collapsed="false">
      <c r="A24" s="25" t="n">
        <v>20</v>
      </c>
      <c r="B24" s="26" t="s">
        <v>74</v>
      </c>
      <c r="C24" s="25" t="str">
        <f aca="false">INDEX(Order_Data!$B$5:$B$24,MATCH($B24,Order_Data!$A$5:$A$24,0))</f>
        <v>Sunrise FlexiPack</v>
      </c>
      <c r="D24" s="25" t="str">
        <f aca="false">INDEX(Order_Data!$C$5:$C$24,MATCH($B24,Order_Data!$A$5:$A$24,0))</f>
        <v>Solvent Ink - Gold</v>
      </c>
      <c r="E24" s="25" t="str">
        <f aca="false">INDEX(Order_Data!$D$5:$D$24,MATCH($B24,Order_Data!$A$5:$A$24,0))</f>
        <v>Metallic</v>
      </c>
      <c r="F24" s="27" t="n">
        <f aca="false">INDEX(Order_Data!$E$5:$E$24,MATCH($B24,Order_Data!$A$5:$A$24,0))</f>
        <v>250</v>
      </c>
      <c r="G24" s="28" t="n">
        <f aca="false">INDEX(Order_Data!$F$5:$F$24,MATCH($B24,Order_Data!$A$5:$A$24,0))</f>
        <v>46304</v>
      </c>
      <c r="H24" s="25" t="str">
        <f aca="false">INDEX(Order_Data!$G$5:$G$24,MATCH($B24,Order_Data!$A$5:$A$24,0))</f>
        <v>Standard</v>
      </c>
      <c r="I24" s="25" t="n">
        <f aca="false">INDEX(Changeover_Matrix!$B$5:$G$10,MATCH(E23,Changeover_Matrix!$A$5:$A$10,0),MATCH(E24,Changeover_Matrix!$B$4:$G$4,0))</f>
        <v>15</v>
      </c>
      <c r="J24" s="29" t="n">
        <f aca="false">F24/$Q$5</f>
        <v>31.25</v>
      </c>
      <c r="K24" s="29" t="n">
        <f aca="false">K23+I24+J24</f>
        <v>1620</v>
      </c>
      <c r="L24" s="25" t="n">
        <f aca="false">G24-$Q$7+1</f>
        <v>4</v>
      </c>
      <c r="M24" s="25" t="n">
        <f aca="false">CEILING(K24/$Q$6,1)</f>
        <v>2</v>
      </c>
      <c r="N24" s="30" t="str">
        <f aca="false">IF(M24&lt;=L24,"On Time","Late")</f>
        <v>On Time</v>
      </c>
    </row>
  </sheetData>
  <mergeCells count="3">
    <mergeCell ref="A1:H1"/>
    <mergeCell ref="A2:H2"/>
    <mergeCell ref="Q9:T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</cols>
  <sheetData>
    <row r="1" customFormat="false" ht="27.75" hidden="false" customHeight="true" outlineLevel="0" collapsed="false">
      <c r="A1" s="2" t="s">
        <v>114</v>
      </c>
      <c r="B1" s="2"/>
      <c r="C1" s="2"/>
      <c r="D1" s="2"/>
      <c r="E1" s="2"/>
    </row>
    <row r="2" customFormat="false" ht="18" hidden="false" customHeight="true" outlineLevel="0" collapsed="false">
      <c r="A2" s="3" t="s">
        <v>115</v>
      </c>
      <c r="B2" s="3"/>
      <c r="C2" s="3"/>
      <c r="D2" s="3"/>
      <c r="E2" s="3"/>
    </row>
    <row r="4" customFormat="false" ht="21.75" hidden="false" customHeight="true" outlineLevel="0" collapsed="false">
      <c r="A4" s="6" t="s">
        <v>116</v>
      </c>
      <c r="B4" s="6" t="s">
        <v>117</v>
      </c>
      <c r="C4" s="6" t="s">
        <v>118</v>
      </c>
      <c r="D4" s="6" t="s">
        <v>119</v>
      </c>
    </row>
    <row r="5" customFormat="false" ht="15" hidden="false" customHeight="true" outlineLevel="0" collapsed="false">
      <c r="A5" s="33" t="s">
        <v>120</v>
      </c>
      <c r="B5" s="34" t="n">
        <f aca="false">SUM(Manual_Schedule!I5:I24)</f>
        <v>885</v>
      </c>
      <c r="C5" s="34" t="n">
        <f aca="false">SUM(AI_Naive_Schedule!I5:I24)</f>
        <v>390</v>
      </c>
      <c r="D5" s="34" t="n">
        <f aca="false">SUM(Agent_Schedule!I5:I24)</f>
        <v>570</v>
      </c>
    </row>
    <row r="6" customFormat="false" ht="15" hidden="false" customHeight="true" outlineLevel="0" collapsed="false">
      <c r="A6" s="35" t="s">
        <v>121</v>
      </c>
      <c r="B6" s="36" t="n">
        <f aca="false">B5/60</f>
        <v>14.75</v>
      </c>
      <c r="C6" s="36" t="n">
        <f aca="false">C5/60</f>
        <v>6.5</v>
      </c>
      <c r="D6" s="36" t="n">
        <f aca="false">D5/60</f>
        <v>9.5</v>
      </c>
    </row>
    <row r="7" customFormat="false" ht="15" hidden="false" customHeight="true" outlineLevel="0" collapsed="false">
      <c r="A7" s="33" t="s">
        <v>122</v>
      </c>
      <c r="B7" s="34" t="n">
        <f aca="false">SUM(Manual_Schedule!J5:J24)</f>
        <v>1050</v>
      </c>
      <c r="C7" s="34" t="n">
        <f aca="false">SUM(AI_Naive_Schedule!J5:J24)</f>
        <v>1050</v>
      </c>
      <c r="D7" s="34" t="n">
        <f aca="false">SUM(Agent_Schedule!J5:J24)</f>
        <v>1050</v>
      </c>
    </row>
    <row r="8" customFormat="false" ht="15" hidden="false" customHeight="true" outlineLevel="0" collapsed="false">
      <c r="A8" s="35" t="s">
        <v>123</v>
      </c>
      <c r="B8" s="36" t="n">
        <f aca="false">B5+B7</f>
        <v>1935</v>
      </c>
      <c r="C8" s="36" t="n">
        <f aca="false">C5+C7</f>
        <v>1440</v>
      </c>
      <c r="D8" s="36" t="n">
        <f aca="false">D5+D7</f>
        <v>1620</v>
      </c>
    </row>
    <row r="9" customFormat="false" ht="15" hidden="false" customHeight="true" outlineLevel="0" collapsed="false">
      <c r="A9" s="33" t="s">
        <v>124</v>
      </c>
      <c r="B9" s="34" t="n">
        <f aca="false">COUNTIF(Manual_Schedule!N5:N24,"On Time")</f>
        <v>20</v>
      </c>
      <c r="C9" s="34" t="n">
        <f aca="false">COUNTIF(AI_Naive_Schedule!N5:N24,"On Time")</f>
        <v>19</v>
      </c>
      <c r="D9" s="34" t="n">
        <f aca="false">COUNTIF(Agent_Schedule!N5:N24,"On Time")</f>
        <v>20</v>
      </c>
    </row>
    <row r="10" customFormat="false" ht="15" hidden="false" customHeight="true" outlineLevel="0" collapsed="false">
      <c r="A10" s="35" t="s">
        <v>125</v>
      </c>
      <c r="B10" s="37" t="n">
        <f aca="false">B9/20</f>
        <v>1</v>
      </c>
      <c r="C10" s="37" t="n">
        <f aca="false">C9/20</f>
        <v>0.95</v>
      </c>
      <c r="D10" s="37" t="n">
        <f aca="false">D9/20</f>
        <v>1</v>
      </c>
    </row>
    <row r="11" customFormat="false" ht="15" hidden="false" customHeight="true" outlineLevel="0" collapsed="false">
      <c r="A11" s="33" t="s">
        <v>126</v>
      </c>
      <c r="B11" s="38" t="n">
        <v>0</v>
      </c>
      <c r="C11" s="38" t="n">
        <f aca="false">(B5-C5)/B5</f>
        <v>0.559322033898305</v>
      </c>
      <c r="D11" s="38" t="n">
        <f aca="false">(B5-D5)/B5</f>
        <v>0.355932203389831</v>
      </c>
    </row>
    <row r="14" customFormat="false" ht="15" hidden="false" customHeight="true" outlineLevel="0" collapsed="false">
      <c r="A14" s="39" t="s">
        <v>127</v>
      </c>
    </row>
    <row r="15" customFormat="false" ht="60" hidden="false" customHeight="true" outlineLevel="0" collapsed="false">
      <c r="A15" s="40" t="s">
        <v>128</v>
      </c>
      <c r="B15" s="40"/>
      <c r="C15" s="40"/>
      <c r="D15" s="40"/>
    </row>
    <row r="16" customFormat="false" ht="15" hidden="false" customHeight="true" outlineLevel="0" collapsed="false">
      <c r="A16" s="40"/>
      <c r="B16" s="40"/>
      <c r="C16" s="40"/>
      <c r="D16" s="40"/>
    </row>
    <row r="17" customFormat="false" ht="15" hidden="false" customHeight="true" outlineLevel="0" collapsed="false">
      <c r="A17" s="40"/>
      <c r="B17" s="40"/>
      <c r="C17" s="40"/>
      <c r="D17" s="40"/>
    </row>
    <row r="18" customFormat="false" ht="15" hidden="false" customHeight="true" outlineLevel="0" collapsed="false">
      <c r="A18" s="40"/>
      <c r="B18" s="40"/>
      <c r="C18" s="40"/>
      <c r="D18" s="40"/>
    </row>
  </sheetData>
  <mergeCells count="3">
    <mergeCell ref="A1:E1"/>
    <mergeCell ref="A2:E2"/>
    <mergeCell ref="A15:D1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2026-09-27T11:45:34Z</dcterms:created>
  <dc:creator>openpyxl</dc:creator>
  <dc:description/>
  <dc:language>en-US</dc:language>
  <cp:lastModifiedBy/>
  <dcterms:modified xsi:type="dcterms:W3CDTF">2026-09-27T11:45:55Z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