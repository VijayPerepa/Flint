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Material_Data" sheetId="2" state="visible" r:id="rId4"/>
    <sheet name="ABC_Classification" sheetId="3" state="visible" r:id="rId5"/>
    <sheet name="Manual_Policy" sheetId="4" state="visible" r:id="rId6"/>
    <sheet name="AI_Naive_Policy" sheetId="5" state="visible" r:id="rId7"/>
    <sheet name="Agent_Policy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<sst xmlns="http://schemas.openxmlformats.org/spreadsheetml/2006/main" count="213" uniqueCount="131">
  <si>
    <t xml:space="preserve">PEREPA EDU  |  AI for Production Planning</t>
  </si>
  <si>
    <t xml:space="preserve">Case Study 2 — Raw Material Inventory Optimisation for an Ink Manufacturer</t>
  </si>
  <si>
    <t xml:space="preserve">Scenario</t>
  </si>
  <si>
    <t xml:space="preserve">ChromaTech Inks Pvt Ltd (same fictional company as Case Study 1) buys pigments,</t>
  </si>
  <si>
    <t xml:space="preserve">resins, solvents and additives to feed its mixing line. Stock-outs on a long-lead pigment</t>
  </si>
  <si>
    <t xml:space="preserve">can delay a confirmed batch by weeks, not days -- two of the pigments here directly feed</t>
  </si>
  <si>
    <t xml:space="preserve">the Medium and Metallic colour families from Case Study 1's order book.</t>
  </si>
  <si>
    <t xml:space="preserve">Problem</t>
  </si>
  <si>
    <t xml:space="preserve">Purchasing reorders every item on the same flat rule: "reorder when stock falls</t>
  </si>
  <si>
    <t xml:space="preserve">below 14 days of average usage." That ignores how much daily usage and lead time</t>
  </si>
  <si>
    <t xml:space="preserve">actually vary item to item -- and ignores that a pigment is not as critical as a solvent.</t>
  </si>
  <si>
    <t xml:space="preserve">How to use this file</t>
  </si>
  <si>
    <t xml:space="preserve">1. Raw_Material_Data = the 12-item input (do not edit).</t>
  </si>
  <si>
    <t xml:space="preserve">2. ABC_Classification = each item ranked by annual consumption value into A/B/C tiers.</t>
  </si>
  <si>
    <t xml:space="preserve">3. Manual_Policy = today's approach: flat 14-day reorder point for every item.</t>
  </si>
  <si>
    <t xml:space="preserve">4. AI_Naive_Policy = a statistical safety-stock model (95% service level) applied</t>
  </si>
  <si>
    <t xml:space="preserve">   uniformly to every item, regardless of how critical it is.</t>
  </si>
  <si>
    <t xml:space="preserve">5. Agent_Policy = the same statistical model, but the service level is set by each</t>
  </si>
  <si>
    <t xml:space="preserve">   item's ABC tier (99% / 95% / 90%), and flagged items get a suggested purchase</t>
  </si>
  <si>
    <t xml:space="preserve">   quantity respecting vendor MOQ -- this is the step from "a number" to "an action".</t>
  </si>
  <si>
    <t xml:space="preserve">6. Summary = side-by-side comparison + chart.</t>
  </si>
  <si>
    <t xml:space="preserve">Assumptions</t>
  </si>
  <si>
    <t xml:space="preserve">Ordering cost: INR 1,500/PO. Holding cost: 20% of unit value p.a.</t>
  </si>
  <si>
    <t xml:space="preserve">Service levels: Naive = 95% flat. Agent = A 99% / B 95% / C 90%.</t>
  </si>
  <si>
    <t xml:space="preserve">Exercise for trainees</t>
  </si>
  <si>
    <t xml:space="preserve">Change an item's Lead Time StdDev on Raw_Material_Data and watch its</t>
  </si>
  <si>
    <t xml:space="preserve">safety stock and reorder flag move on the AI_Naive_Policy and Agent_Policy sheets -- this</t>
  </si>
  <si>
    <t xml:space="preserve">is the single clearest way to show a class why lead-time variability matters as much as</t>
  </si>
  <si>
    <t xml:space="preserve">average lead time.</t>
  </si>
  <si>
    <t xml:space="preserve">Raw_Material_Data (input)</t>
  </si>
  <si>
    <t xml:space="preserve">12 raw materials feeding the mixing line -- usage, lead time and cost statistics</t>
  </si>
  <si>
    <t xml:space="preserve">Material
ID</t>
  </si>
  <si>
    <t xml:space="preserve">Material Name</t>
  </si>
  <si>
    <t xml:space="preserve">Category</t>
  </si>
  <si>
    <t xml:space="preserve">Colour/Use
Family</t>
  </si>
  <si>
    <t xml:space="preserve">Avg Daily
Usage (kg)</t>
  </si>
  <si>
    <t xml:space="preserve">Std Dev
Daily (kg)</t>
  </si>
  <si>
    <t xml:space="preserve">Lead Time
(days)</t>
  </si>
  <si>
    <t xml:space="preserve">Lead Time
StdDev (days)</t>
  </si>
  <si>
    <t xml:space="preserve">Unit Cost
(INR/kg)</t>
  </si>
  <si>
    <t xml:space="preserve">Current
Stock (kg)</t>
  </si>
  <si>
    <t xml:space="preserve">MOQ
(kg)</t>
  </si>
  <si>
    <t xml:space="preserve">RM-01</t>
  </si>
  <si>
    <t xml:space="preserve">Phthalocyanine Blue Pigment</t>
  </si>
  <si>
    <t xml:space="preserve">Pigment</t>
  </si>
  <si>
    <t xml:space="preserve">Medium/Dark inks</t>
  </si>
  <si>
    <t xml:space="preserve">RM-02</t>
  </si>
  <si>
    <t xml:space="preserve">Titanium Dioxide White Pigment</t>
  </si>
  <si>
    <t xml:space="preserve">White inks</t>
  </si>
  <si>
    <t xml:space="preserve">RM-03</t>
  </si>
  <si>
    <t xml:space="preserve">Carbon Black Pigment</t>
  </si>
  <si>
    <t xml:space="preserve">Black inks</t>
  </si>
  <si>
    <t xml:space="preserve">RM-04</t>
  </si>
  <si>
    <t xml:space="preserve">Rosin Modified Resin</t>
  </si>
  <si>
    <t xml:space="preserve">Resin</t>
  </si>
  <si>
    <t xml:space="preserve">All flexo inks</t>
  </si>
  <si>
    <t xml:space="preserve">RM-05</t>
  </si>
  <si>
    <t xml:space="preserve">Nitrocellulose Resin</t>
  </si>
  <si>
    <t xml:space="preserve">Solvent-based inks</t>
  </si>
  <si>
    <t xml:space="preserve">RM-06</t>
  </si>
  <si>
    <t xml:space="preserve">Acrylic Resin</t>
  </si>
  <si>
    <t xml:space="preserve">UV inks</t>
  </si>
  <si>
    <t xml:space="preserve">RM-07</t>
  </si>
  <si>
    <t xml:space="preserve">Ethyl Acetate Solvent</t>
  </si>
  <si>
    <t xml:space="preserve">Solvent</t>
  </si>
  <si>
    <t xml:space="preserve">RM-08</t>
  </si>
  <si>
    <t xml:space="preserve">IPA Solvent</t>
  </si>
  <si>
    <t xml:space="preserve">Flexo/UV inks</t>
  </si>
  <si>
    <t xml:space="preserve">RM-09</t>
  </si>
  <si>
    <t xml:space="preserve">Wax Compound Additive</t>
  </si>
  <si>
    <t xml:space="preserve">Additive</t>
  </si>
  <si>
    <t xml:space="preserve">Rub resistance</t>
  </si>
  <si>
    <t xml:space="preserve">RM-10</t>
  </si>
  <si>
    <t xml:space="preserve">Defoamer Additive</t>
  </si>
  <si>
    <t xml:space="preserve">All inks</t>
  </si>
  <si>
    <t xml:space="preserve">RM-11</t>
  </si>
  <si>
    <t xml:space="preserve">Aluminium Paste (Metallic Silver)</t>
  </si>
  <si>
    <t xml:space="preserve">Metallic inks</t>
  </si>
  <si>
    <t xml:space="preserve">RM-12</t>
  </si>
  <si>
    <t xml:space="preserve">Yellow/Red Organic Pigment</t>
  </si>
  <si>
    <t xml:space="preserve">Medium inks</t>
  </si>
  <si>
    <t xml:space="preserve">ABC_Classification</t>
  </si>
  <si>
    <t xml:space="preserve">Materials ranked by annual consumption value (Avg Daily Usage x 365 x Unit Cost)</t>
  </si>
  <si>
    <t xml:space="preserve">Rank</t>
  </si>
  <si>
    <t xml:space="preserve">Annual Usage
Value (INR)</t>
  </si>
  <si>
    <t xml:space="preserve">Cumulative
Value (INR)</t>
  </si>
  <si>
    <t xml:space="preserve">Cumulative
%</t>
  </si>
  <si>
    <t xml:space="preserve">ABC
Class</t>
  </si>
  <si>
    <t xml:space="preserve">Manual_Policy (today's method)</t>
  </si>
  <si>
    <t xml:space="preserve">Flat rule: reorder when stock falls below 14 days of average usage -- same rule for every item</t>
  </si>
  <si>
    <t xml:space="preserve">Seq</t>
  </si>
  <si>
    <t xml:space="preserve">Flat Cover
(days)</t>
  </si>
  <si>
    <t xml:space="preserve">Manual
ROP (kg)</t>
  </si>
  <si>
    <t xml:space="preserve">Status</t>
  </si>
  <si>
    <t xml:space="preserve">Flat cover (days)</t>
  </si>
  <si>
    <t xml:space="preserve">AI_Naive_Policy (uniform statistical model)</t>
  </si>
  <si>
    <t xml:space="preserve">Safety stock from demand &amp; lead-time variability, at ONE service level for every item -- 95%</t>
  </si>
  <si>
    <t xml:space="preserve">Safety
Stock (kg)</t>
  </si>
  <si>
    <t xml:space="preserve">ROP
(kg)</t>
  </si>
  <si>
    <t xml:space="preserve">Service level</t>
  </si>
  <si>
    <t xml:space="preserve">Z (NORMSINV)</t>
  </si>
  <si>
    <t xml:space="preserve">Agent_Policy (risk-tiered + actionable)</t>
  </si>
  <si>
    <t xml:space="preserve">Same statistical model, service level set by ABC tier (99% / 95% / 90%) -- flagged items get a suggested purchase order</t>
  </si>
  <si>
    <t xml:space="preserve">Avg Daily
Usage</t>
  </si>
  <si>
    <t xml:space="preserve">Std Dev
Daily</t>
  </si>
  <si>
    <t xml:space="preserve">Lead
Time</t>
  </si>
  <si>
    <t xml:space="preserve">LT
StdDev</t>
  </si>
  <si>
    <t xml:space="preserve">Unit Cost
(INR)</t>
  </si>
  <si>
    <t xml:space="preserve">Current
Stock</t>
  </si>
  <si>
    <t xml:space="preserve">Safety
Stock</t>
  </si>
  <si>
    <t xml:space="preserve">EOQ
(kg)</t>
  </si>
  <si>
    <t xml:space="preserve">Suggested
Order Qty</t>
  </si>
  <si>
    <t xml:space="preserve">PO Value
(INR)</t>
  </si>
  <si>
    <t xml:space="preserve">Ordering cost (INR/PO)</t>
  </si>
  <si>
    <t xml:space="preserve">Holding cost rate (p.a.)</t>
  </si>
  <si>
    <t xml:space="preserve">Z: Class A (99%)</t>
  </si>
  <si>
    <t xml:space="preserve">Z: Class B (95%)</t>
  </si>
  <si>
    <t xml:space="preserve">Z: Class C (90%)</t>
  </si>
  <si>
    <t xml:space="preserve">Summary — Manual vs AI-Naive vs Agent</t>
  </si>
  <si>
    <t xml:space="preserve">12 raw materials, three reorder policies</t>
  </si>
  <si>
    <t xml:space="preserve">Metric</t>
  </si>
  <si>
    <t xml:space="preserve">Manual
(flat 14-day)</t>
  </si>
  <si>
    <t xml:space="preserve">AI-Naive
(uniform 95%)</t>
  </si>
  <si>
    <t xml:space="preserve">Agent
(ABC-tiered)</t>
  </si>
  <si>
    <t xml:space="preserve">Items flagged “Reorder Now” (of 12)</t>
  </si>
  <si>
    <t xml:space="preserve">Of which: Class-A / long-lead items</t>
  </si>
  <si>
    <t xml:space="preserve">Total safety-stock value held (INR)</t>
  </si>
  <si>
    <t xml:space="preserve">—</t>
  </si>
  <si>
    <t xml:space="preserve">Suggested PO value raised this cycle (INR)</t>
  </si>
  <si>
    <t xml:space="preserve">Reading the result</t>
  </si>
  <si>
    <t xml:space="preserve">The flat 14-day rule flags 2 items — but both are false alarms on high-volume, short-lead solvents that don't actually need it (check Manual_Policy vs AI_Naive_Policy for RM-07 and RM-08). Worse, it completely misses real stock-out risk on two long-lead pigments (RM-01, 21-day lead time, and RM-11, 30-day lead time) because their average daily usage is low enough that 14 days of cover looks fine on paper. The uniform 95% model catches those two, but still treats a critical pigment the same as a routine additive. The Agent applies a tighter service level to Class-A items specifically, catching two more real risks (RM-04, RM-12) that the uniform model still missed — and produces a ready-to-approve purchase order for each one.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</si>
</sst>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#,##0.0"/>
    <numFmt numFmtId="169" formatCode="0.00"/>
    <numFmt numFmtId="170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D9"/>
        <bgColor rgb="FFF2F2F2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BF3D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Items Flagged “Reorder Now” by Policy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Summary!$B$4:$D$4</c:f>
              <c:strCache>
                <c:ptCount val="3"/>
                <c:pt idx="0">
                  <c:v>Manual
(flat 14-day)</c:v>
                </c:pt>
                <c:pt idx="1">
                  <c:v>AI-Naive
(uniform 95%)</c:v>
                </c:pt>
                <c:pt idx="2">
                  <c:v>Agent
(ABC-tiered)</c:v>
                </c:pt>
              </c:strCache>
            </c:strRef>
          </c:cat>
          <c:val>
            <c:numRef>
              <c:f>Summary!$B$5:$D$5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67069780"/>
        <c:axId val="68947099"/>
      </c:barChart>
      <c:catAx>
        <c:axId val="67069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Policy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47099"/>
        <c:crosses val="autoZero"/>
        <c:auto val="1"/>
        <c:lblAlgn val="ctr"/>
        <c:lblOffset val="100"/>
        <c:noMultiLvlLbl val="0"/>
      </c:catAx>
      <c:valAx>
        <c:axId val="689470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697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146880</xdr:colOff>
      <xdr:row>12</xdr:row>
      <xdr:rowOff>126000</xdr:rowOff>
    </xdr:to>
    <xdr:graphicFrame>
      <xdr:nvGraphicFramePr>
        <xdr:cNvPr id="0" name="Chart 1"/>
        <xdr:cNvGraphicFramePr/>
      </xdr:nvGraphicFramePr>
      <xdr:xfrm>
        <a:off x="7237080" y="771480"/>
        <a:ext cx="50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2</v>
      </c>
      <c r="B5" s="4" t="s">
        <v>3</v>
      </c>
      <c r="C5" s="4"/>
      <c r="D5" s="4"/>
      <c r="E5" s="4"/>
      <c r="F5" s="4"/>
    </row>
    <row r="6" customFormat="false" ht="15" hidden="false" customHeight="true" outlineLevel="0" collapsed="false">
      <c r="B6" s="4" t="s">
        <v>4</v>
      </c>
      <c r="C6" s="4"/>
      <c r="D6" s="4"/>
      <c r="E6" s="4"/>
      <c r="F6" s="4"/>
    </row>
    <row r="7" customFormat="false" ht="15" hidden="false" customHeight="true" outlineLevel="0" collapsed="false">
      <c r="B7" s="4" t="s">
        <v>5</v>
      </c>
      <c r="C7" s="4"/>
      <c r="D7" s="4"/>
      <c r="E7" s="4"/>
      <c r="F7" s="4"/>
    </row>
    <row r="8" customFormat="false" ht="15" hidden="false" customHeight="true" outlineLevel="0" collapsed="false">
      <c r="B8" s="4" t="s">
        <v>6</v>
      </c>
      <c r="C8" s="4"/>
      <c r="D8" s="4"/>
      <c r="E8" s="4"/>
      <c r="F8" s="4"/>
    </row>
    <row r="9" customFormat="false" ht="15" hidden="false" customHeight="true" outlineLevel="0" collapsed="false">
      <c r="B9" s="4"/>
      <c r="C9" s="4"/>
      <c r="D9" s="4"/>
      <c r="E9" s="4"/>
      <c r="F9" s="4"/>
    </row>
    <row r="10" customFormat="false" ht="15" hidden="false" customHeight="true" outlineLevel="0" collapsed="false">
      <c r="A10" s="5" t="s">
        <v>7</v>
      </c>
      <c r="B10" s="4" t="s">
        <v>8</v>
      </c>
      <c r="C10" s="4"/>
      <c r="D10" s="4"/>
      <c r="E10" s="4"/>
      <c r="F10" s="4"/>
    </row>
    <row r="11" customFormat="false" ht="15" hidden="false" customHeight="true" outlineLevel="0" collapsed="false">
      <c r="B11" s="4" t="s">
        <v>9</v>
      </c>
      <c r="C11" s="4"/>
      <c r="D11" s="4"/>
      <c r="E11" s="4"/>
      <c r="F11" s="4"/>
    </row>
    <row r="12" customFormat="false" ht="15" hidden="false" customHeight="true" outlineLevel="0" collapsed="false">
      <c r="B12" s="4" t="s">
        <v>10</v>
      </c>
      <c r="C12" s="4"/>
      <c r="D12" s="4"/>
      <c r="E12" s="4"/>
      <c r="F12" s="4"/>
    </row>
    <row r="13" customFormat="false" ht="15" hidden="false" customHeight="true" outlineLevel="0" collapsed="false">
      <c r="B13" s="4"/>
      <c r="C13" s="4"/>
      <c r="D13" s="4"/>
      <c r="E13" s="4"/>
      <c r="F13" s="4"/>
    </row>
    <row r="14" customFormat="false" ht="15" hidden="false" customHeight="true" outlineLevel="0" collapsed="false">
      <c r="A14" s="5" t="s">
        <v>11</v>
      </c>
      <c r="B14" s="4" t="s">
        <v>12</v>
      </c>
      <c r="C14" s="4"/>
      <c r="D14" s="4"/>
      <c r="E14" s="4"/>
      <c r="F14" s="4"/>
    </row>
    <row r="15" customFormat="false" ht="15" hidden="false" customHeight="true" outlineLevel="0" collapsed="false">
      <c r="B15" s="4" t="s">
        <v>13</v>
      </c>
      <c r="C15" s="4"/>
      <c r="D15" s="4"/>
      <c r="E15" s="4"/>
      <c r="F15" s="4"/>
    </row>
    <row r="16" customFormat="false" ht="15" hidden="false" customHeight="true" outlineLevel="0" collapsed="false">
      <c r="B16" s="4" t="s">
        <v>14</v>
      </c>
      <c r="C16" s="4"/>
      <c r="D16" s="4"/>
      <c r="E16" s="4"/>
      <c r="F16" s="4"/>
    </row>
    <row r="17" customFormat="false" ht="15" hidden="false" customHeight="true" outlineLevel="0" collapsed="false">
      <c r="B17" s="4" t="s">
        <v>15</v>
      </c>
      <c r="C17" s="4"/>
      <c r="D17" s="4"/>
      <c r="E17" s="4"/>
      <c r="F17" s="4"/>
    </row>
    <row r="18" customFormat="false" ht="15" hidden="false" customHeight="true" outlineLevel="0" collapsed="false">
      <c r="B18" s="4" t="s">
        <v>16</v>
      </c>
      <c r="C18" s="4"/>
      <c r="D18" s="4"/>
      <c r="E18" s="4"/>
      <c r="F18" s="4"/>
    </row>
    <row r="19" customFormat="false" ht="15" hidden="false" customHeight="true" outlineLevel="0" collapsed="false">
      <c r="B19" s="4" t="s">
        <v>17</v>
      </c>
      <c r="C19" s="4"/>
      <c r="D19" s="4"/>
      <c r="E19" s="4"/>
      <c r="F19" s="4"/>
    </row>
    <row r="20" customFormat="false" ht="15" hidden="false" customHeight="true" outlineLevel="0" collapsed="false">
      <c r="B20" s="4" t="s">
        <v>18</v>
      </c>
      <c r="C20" s="4"/>
      <c r="D20" s="4"/>
      <c r="E20" s="4"/>
      <c r="F20" s="4"/>
    </row>
    <row r="21" customFormat="false" ht="15" hidden="false" customHeight="true" outlineLevel="0" collapsed="false">
      <c r="B21" s="4" t="s">
        <v>19</v>
      </c>
      <c r="C21" s="4"/>
      <c r="D21" s="4"/>
      <c r="E21" s="4"/>
      <c r="F21" s="4"/>
    </row>
    <row r="22" customFormat="false" ht="15" hidden="false" customHeight="true" outlineLevel="0" collapsed="false">
      <c r="B22" s="4" t="s">
        <v>20</v>
      </c>
      <c r="C22" s="4"/>
      <c r="D22" s="4"/>
      <c r="E22" s="4"/>
      <c r="F22" s="4"/>
    </row>
    <row r="23" customFormat="false" ht="15" hidden="false" customHeight="true" outlineLevel="0" collapsed="false">
      <c r="B23" s="4"/>
      <c r="C23" s="4"/>
      <c r="D23" s="4"/>
      <c r="E23" s="4"/>
      <c r="F23" s="4"/>
    </row>
    <row r="24" customFormat="false" ht="15" hidden="false" customHeight="true" outlineLevel="0" collapsed="false">
      <c r="A24" s="5" t="s">
        <v>21</v>
      </c>
      <c r="B24" s="4" t="s">
        <v>22</v>
      </c>
      <c r="C24" s="4"/>
      <c r="D24" s="4"/>
      <c r="E24" s="4"/>
      <c r="F24" s="4"/>
    </row>
    <row r="25" customFormat="false" ht="15" hidden="false" customHeight="true" outlineLevel="0" collapsed="false">
      <c r="B25" s="4" t="s">
        <v>23</v>
      </c>
      <c r="C25" s="4"/>
      <c r="D25" s="4"/>
      <c r="E25" s="4"/>
      <c r="F25" s="4"/>
    </row>
    <row r="26" customFormat="false" ht="15" hidden="false" customHeight="true" outlineLevel="0" collapsed="false">
      <c r="B26" s="4"/>
      <c r="C26" s="4"/>
      <c r="D26" s="4"/>
      <c r="E26" s="4"/>
      <c r="F26" s="4"/>
    </row>
    <row r="27" customFormat="false" ht="15" hidden="false" customHeight="true" outlineLevel="0" collapsed="false">
      <c r="A27" s="5" t="s">
        <v>24</v>
      </c>
      <c r="B27" s="4" t="s">
        <v>25</v>
      </c>
      <c r="C27" s="4"/>
      <c r="D27" s="4"/>
      <c r="E27" s="4"/>
      <c r="F27" s="4"/>
    </row>
    <row r="28" customFormat="false" ht="15" hidden="false" customHeight="true" outlineLevel="0" collapsed="false">
      <c r="B28" s="4" t="s">
        <v>26</v>
      </c>
      <c r="C28" s="4"/>
      <c r="D28" s="4"/>
      <c r="E28" s="4"/>
      <c r="F28" s="4"/>
    </row>
    <row r="29" customFormat="false" ht="15" hidden="false" customHeight="true" outlineLevel="0" collapsed="false">
      <c r="B29" s="4" t="s">
        <v>27</v>
      </c>
      <c r="C29" s="4"/>
      <c r="D29" s="4"/>
      <c r="E29" s="4"/>
      <c r="F29" s="4"/>
    </row>
    <row r="30" customFormat="false" ht="15" hidden="false" customHeight="true" outlineLevel="0" collapsed="false">
      <c r="B30" s="4" t="s">
        <v>28</v>
      </c>
      <c r="C30" s="4"/>
      <c r="D30" s="4"/>
      <c r="E30" s="4"/>
      <c r="F30" s="4"/>
    </row>
  </sheetData>
  <mergeCells count="29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7" min="6" style="1" width="9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7"/>
  </cols>
  <sheetData>
    <row r="1" customFormat="false" ht="27.75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customFormat="false" ht="15" hidden="false" customHeight="true" outlineLevel="0" collapsed="false">
      <c r="A5" s="7" t="s">
        <v>42</v>
      </c>
      <c r="B5" s="7" t="s">
        <v>43</v>
      </c>
      <c r="C5" s="7" t="s">
        <v>44</v>
      </c>
      <c r="D5" s="7" t="s">
        <v>45</v>
      </c>
      <c r="E5" s="8" t="n">
        <v>18</v>
      </c>
      <c r="F5" s="8" t="n">
        <v>6</v>
      </c>
      <c r="G5" s="8" t="n">
        <v>21</v>
      </c>
      <c r="H5" s="8" t="n">
        <v>4</v>
      </c>
      <c r="I5" s="8" t="n">
        <v>2200</v>
      </c>
      <c r="J5" s="8" t="n">
        <v>350</v>
      </c>
      <c r="K5" s="8" t="n">
        <v>100</v>
      </c>
    </row>
    <row r="6" customFormat="false" ht="15" hidden="false" customHeight="true" outlineLevel="0" collapsed="false">
      <c r="A6" s="9" t="s">
        <v>46</v>
      </c>
      <c r="B6" s="9" t="s">
        <v>47</v>
      </c>
      <c r="C6" s="9" t="s">
        <v>44</v>
      </c>
      <c r="D6" s="9" t="s">
        <v>48</v>
      </c>
      <c r="E6" s="10" t="n">
        <v>35</v>
      </c>
      <c r="F6" s="10" t="n">
        <v>10</v>
      </c>
      <c r="G6" s="10" t="n">
        <v>18</v>
      </c>
      <c r="H6" s="10" t="n">
        <v>3</v>
      </c>
      <c r="I6" s="10" t="n">
        <v>180</v>
      </c>
      <c r="J6" s="10" t="n">
        <v>900</v>
      </c>
      <c r="K6" s="10" t="n">
        <v>250</v>
      </c>
    </row>
    <row r="7" customFormat="false" ht="15" hidden="false" customHeight="true" outlineLevel="0" collapsed="false">
      <c r="A7" s="7" t="s">
        <v>49</v>
      </c>
      <c r="B7" s="7" t="s">
        <v>50</v>
      </c>
      <c r="C7" s="7" t="s">
        <v>44</v>
      </c>
      <c r="D7" s="7" t="s">
        <v>51</v>
      </c>
      <c r="E7" s="8" t="n">
        <v>22</v>
      </c>
      <c r="F7" s="8" t="n">
        <v>7</v>
      </c>
      <c r="G7" s="8" t="n">
        <v>15</v>
      </c>
      <c r="H7" s="8" t="n">
        <v>3</v>
      </c>
      <c r="I7" s="8" t="n">
        <v>150</v>
      </c>
      <c r="J7" s="8" t="n">
        <v>460</v>
      </c>
      <c r="K7" s="8" t="n">
        <v>200</v>
      </c>
    </row>
    <row r="8" customFormat="false" ht="15" hidden="false" customHeight="true" outlineLevel="0" collapsed="false">
      <c r="A8" s="9" t="s">
        <v>52</v>
      </c>
      <c r="B8" s="9" t="s">
        <v>53</v>
      </c>
      <c r="C8" s="9" t="s">
        <v>54</v>
      </c>
      <c r="D8" s="9" t="s">
        <v>55</v>
      </c>
      <c r="E8" s="10" t="n">
        <v>60</v>
      </c>
      <c r="F8" s="10" t="n">
        <v>15</v>
      </c>
      <c r="G8" s="10" t="n">
        <v>10</v>
      </c>
      <c r="H8" s="10" t="n">
        <v>2</v>
      </c>
      <c r="I8" s="10" t="n">
        <v>140</v>
      </c>
      <c r="J8" s="10" t="n">
        <v>850</v>
      </c>
      <c r="K8" s="10" t="n">
        <v>500</v>
      </c>
    </row>
    <row r="9" customFormat="false" ht="15" hidden="false" customHeight="true" outlineLevel="0" collapsed="false">
      <c r="A9" s="7" t="s">
        <v>56</v>
      </c>
      <c r="B9" s="7" t="s">
        <v>57</v>
      </c>
      <c r="C9" s="7" t="s">
        <v>54</v>
      </c>
      <c r="D9" s="7" t="s">
        <v>58</v>
      </c>
      <c r="E9" s="8" t="n">
        <v>25</v>
      </c>
      <c r="F9" s="8" t="n">
        <v>8</v>
      </c>
      <c r="G9" s="8" t="n">
        <v>20</v>
      </c>
      <c r="H9" s="8" t="n">
        <v>5</v>
      </c>
      <c r="I9" s="8" t="n">
        <v>310</v>
      </c>
      <c r="J9" s="8" t="n">
        <v>800</v>
      </c>
      <c r="K9" s="8" t="n">
        <v>100</v>
      </c>
    </row>
    <row r="10" customFormat="false" ht="15" hidden="false" customHeight="true" outlineLevel="0" collapsed="false">
      <c r="A10" s="9" t="s">
        <v>59</v>
      </c>
      <c r="B10" s="9" t="s">
        <v>60</v>
      </c>
      <c r="C10" s="9" t="s">
        <v>54</v>
      </c>
      <c r="D10" s="9" t="s">
        <v>61</v>
      </c>
      <c r="E10" s="10" t="n">
        <v>30</v>
      </c>
      <c r="F10" s="10" t="n">
        <v>9</v>
      </c>
      <c r="G10" s="10" t="n">
        <v>12</v>
      </c>
      <c r="H10" s="10" t="n">
        <v>3</v>
      </c>
      <c r="I10" s="10" t="n">
        <v>210</v>
      </c>
      <c r="J10" s="10" t="n">
        <v>600</v>
      </c>
      <c r="K10" s="10" t="n">
        <v>200</v>
      </c>
    </row>
    <row r="11" customFormat="false" ht="15" hidden="false" customHeight="true" outlineLevel="0" collapsed="false">
      <c r="A11" s="7" t="s">
        <v>62</v>
      </c>
      <c r="B11" s="7" t="s">
        <v>63</v>
      </c>
      <c r="C11" s="7" t="s">
        <v>64</v>
      </c>
      <c r="D11" s="7" t="s">
        <v>58</v>
      </c>
      <c r="E11" s="8" t="n">
        <v>80</v>
      </c>
      <c r="F11" s="8" t="n">
        <v>20</v>
      </c>
      <c r="G11" s="8" t="n">
        <v>7</v>
      </c>
      <c r="H11" s="8" t="n">
        <v>1</v>
      </c>
      <c r="I11" s="8" t="n">
        <v>95</v>
      </c>
      <c r="J11" s="8" t="n">
        <v>850</v>
      </c>
      <c r="K11" s="8" t="n">
        <v>500</v>
      </c>
    </row>
    <row r="12" customFormat="false" ht="15" hidden="false" customHeight="true" outlineLevel="0" collapsed="false">
      <c r="A12" s="9" t="s">
        <v>65</v>
      </c>
      <c r="B12" s="9" t="s">
        <v>66</v>
      </c>
      <c r="C12" s="9" t="s">
        <v>64</v>
      </c>
      <c r="D12" s="9" t="s">
        <v>67</v>
      </c>
      <c r="E12" s="10" t="n">
        <v>45</v>
      </c>
      <c r="F12" s="10" t="n">
        <v>12</v>
      </c>
      <c r="G12" s="10" t="n">
        <v>9</v>
      </c>
      <c r="H12" s="10" t="n">
        <v>2</v>
      </c>
      <c r="I12" s="10" t="n">
        <v>110</v>
      </c>
      <c r="J12" s="10" t="n">
        <v>580</v>
      </c>
      <c r="K12" s="10" t="n">
        <v>300</v>
      </c>
    </row>
    <row r="13" customFormat="false" ht="15" hidden="false" customHeight="true" outlineLevel="0" collapsed="false">
      <c r="A13" s="7" t="s">
        <v>68</v>
      </c>
      <c r="B13" s="7" t="s">
        <v>69</v>
      </c>
      <c r="C13" s="7" t="s">
        <v>70</v>
      </c>
      <c r="D13" s="7" t="s">
        <v>71</v>
      </c>
      <c r="E13" s="8" t="n">
        <v>8</v>
      </c>
      <c r="F13" s="8" t="n">
        <v>3</v>
      </c>
      <c r="G13" s="8" t="n">
        <v>14</v>
      </c>
      <c r="H13" s="8" t="n">
        <v>3</v>
      </c>
      <c r="I13" s="8" t="n">
        <v>320</v>
      </c>
      <c r="J13" s="8" t="n">
        <v>200</v>
      </c>
      <c r="K13" s="8" t="n">
        <v>50</v>
      </c>
    </row>
    <row r="14" customFormat="false" ht="15" hidden="false" customHeight="true" outlineLevel="0" collapsed="false">
      <c r="A14" s="9" t="s">
        <v>72</v>
      </c>
      <c r="B14" s="9" t="s">
        <v>73</v>
      </c>
      <c r="C14" s="9" t="s">
        <v>70</v>
      </c>
      <c r="D14" s="9" t="s">
        <v>74</v>
      </c>
      <c r="E14" s="10" t="n">
        <v>5</v>
      </c>
      <c r="F14" s="10" t="n">
        <v>2</v>
      </c>
      <c r="G14" s="10" t="n">
        <v>10</v>
      </c>
      <c r="H14" s="10" t="n">
        <v>2</v>
      </c>
      <c r="I14" s="10" t="n">
        <v>450</v>
      </c>
      <c r="J14" s="10" t="n">
        <v>100</v>
      </c>
      <c r="K14" s="10" t="n">
        <v>25</v>
      </c>
    </row>
    <row r="15" customFormat="false" ht="15" hidden="false" customHeight="true" outlineLevel="0" collapsed="false">
      <c r="A15" s="7" t="s">
        <v>75</v>
      </c>
      <c r="B15" s="7" t="s">
        <v>76</v>
      </c>
      <c r="C15" s="7" t="s">
        <v>44</v>
      </c>
      <c r="D15" s="7" t="s">
        <v>77</v>
      </c>
      <c r="E15" s="8" t="n">
        <v>10</v>
      </c>
      <c r="F15" s="8" t="n">
        <v>5</v>
      </c>
      <c r="G15" s="8" t="n">
        <v>30</v>
      </c>
      <c r="H15" s="8" t="n">
        <v>7</v>
      </c>
      <c r="I15" s="8" t="n">
        <v>1800</v>
      </c>
      <c r="J15" s="8" t="n">
        <v>200</v>
      </c>
      <c r="K15" s="8" t="n">
        <v>50</v>
      </c>
    </row>
    <row r="16" customFormat="false" ht="15" hidden="false" customHeight="true" outlineLevel="0" collapsed="false">
      <c r="A16" s="9" t="s">
        <v>78</v>
      </c>
      <c r="B16" s="9" t="s">
        <v>79</v>
      </c>
      <c r="C16" s="9" t="s">
        <v>44</v>
      </c>
      <c r="D16" s="9" t="s">
        <v>80</v>
      </c>
      <c r="E16" s="10" t="n">
        <v>15</v>
      </c>
      <c r="F16" s="10" t="n">
        <v>5</v>
      </c>
      <c r="G16" s="10" t="n">
        <v>16</v>
      </c>
      <c r="H16" s="10" t="n">
        <v>3</v>
      </c>
      <c r="I16" s="10" t="n">
        <v>650</v>
      </c>
      <c r="J16" s="10" t="n">
        <v>340</v>
      </c>
      <c r="K16" s="10" t="n">
        <v>100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5" min="4" style="1" width="16"/>
    <col collapsed="false" customWidth="true" hidden="false" outlineLevel="0" max="6" min="6" style="1" width="11"/>
    <col collapsed="false" customWidth="true" hidden="false" outlineLevel="0" max="7" min="7" style="1" width="8"/>
  </cols>
  <sheetData>
    <row r="1" customFormat="false" ht="27.75" hidden="false" customHeight="true" outlineLevel="0" collapsed="false">
      <c r="A1" s="2" t="s">
        <v>81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82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6" t="s">
        <v>83</v>
      </c>
      <c r="B4" s="6" t="s">
        <v>31</v>
      </c>
      <c r="C4" s="6" t="s">
        <v>32</v>
      </c>
      <c r="D4" s="6" t="s">
        <v>84</v>
      </c>
      <c r="E4" s="6" t="s">
        <v>85</v>
      </c>
      <c r="F4" s="6" t="s">
        <v>86</v>
      </c>
      <c r="G4" s="6" t="s">
        <v>87</v>
      </c>
    </row>
    <row r="5" customFormat="false" ht="15" hidden="false" customHeight="true" outlineLevel="0" collapsed="false">
      <c r="A5" s="11" t="n">
        <v>1</v>
      </c>
      <c r="B5" s="12" t="s">
        <v>42</v>
      </c>
      <c r="C5" s="11" t="str">
        <f aca="false">INDEX(Raw_Material_Data!$B$5:$B$16,MATCH($B5,Raw_Material_Data!$A$5:$A$16,0))</f>
        <v>Phthalocyanine Blue Pigment</v>
      </c>
      <c r="D5" s="13" t="n">
        <f aca="false">INDEX(Raw_Material_Data!$E$5:$E$16,MATCH($B5,Raw_Material_Data!$A$5:$A$16,0))*365*INDEX(Raw_Material_Data!$I$5:$I$16,MATCH($B5,Raw_Material_Data!$A$5:$A$16,0))</f>
        <v>14454000</v>
      </c>
      <c r="E5" s="13" t="n">
        <f aca="false">D5</f>
        <v>14454000</v>
      </c>
      <c r="F5" s="14" t="n">
        <f aca="false">E5/E$16</f>
        <v>0.339157245632066</v>
      </c>
      <c r="G5" s="11" t="str">
        <f aca="false">IF(F5&lt;=0.7,"A",IF(F5&lt;=0.9,"B","C"))</f>
        <v>A</v>
      </c>
    </row>
    <row r="6" customFormat="false" ht="15" hidden="false" customHeight="true" outlineLevel="0" collapsed="false">
      <c r="A6" s="15" t="n">
        <v>2</v>
      </c>
      <c r="B6" s="16" t="s">
        <v>75</v>
      </c>
      <c r="C6" s="15" t="str">
        <f aca="false">INDEX(Raw_Material_Data!$B$5:$B$16,MATCH($B6,Raw_Material_Data!$A$5:$A$16,0))</f>
        <v>Aluminium Paste (Metallic Silver)</v>
      </c>
      <c r="D6" s="17" t="n">
        <f aca="false">INDEX(Raw_Material_Data!$E$5:$E$16,MATCH($B6,Raw_Material_Data!$A$5:$A$16,0))*365*INDEX(Raw_Material_Data!$I$5:$I$16,MATCH($B6,Raw_Material_Data!$A$5:$A$16,0))</f>
        <v>6570000</v>
      </c>
      <c r="E6" s="17" t="n">
        <f aca="false">E5+D6</f>
        <v>21024000</v>
      </c>
      <c r="F6" s="18" t="n">
        <f aca="false">E6/E$16</f>
        <v>0.493319630010278</v>
      </c>
      <c r="G6" s="15" t="str">
        <f aca="false">IF(F6&lt;=0.7,"A",IF(F6&lt;=0.9,"B","C"))</f>
        <v>A</v>
      </c>
    </row>
    <row r="7" customFormat="false" ht="15" hidden="false" customHeight="true" outlineLevel="0" collapsed="false">
      <c r="A7" s="11" t="n">
        <v>3</v>
      </c>
      <c r="B7" s="12" t="s">
        <v>78</v>
      </c>
      <c r="C7" s="11" t="str">
        <f aca="false">INDEX(Raw_Material_Data!$B$5:$B$16,MATCH($B7,Raw_Material_Data!$A$5:$A$16,0))</f>
        <v>Yellow/Red Organic Pigment</v>
      </c>
      <c r="D7" s="13" t="n">
        <f aca="false">INDEX(Raw_Material_Data!$E$5:$E$16,MATCH($B7,Raw_Material_Data!$A$5:$A$16,0))*365*INDEX(Raw_Material_Data!$I$5:$I$16,MATCH($B7,Raw_Material_Data!$A$5:$A$16,0))</f>
        <v>3558750</v>
      </c>
      <c r="E7" s="13" t="n">
        <f aca="false">E6+D7</f>
        <v>24582750</v>
      </c>
      <c r="F7" s="14" t="n">
        <f aca="false">E7/E$16</f>
        <v>0.576824254881809</v>
      </c>
      <c r="G7" s="11" t="str">
        <f aca="false">IF(F7&lt;=0.7,"A",IF(F7&lt;=0.9,"B","C"))</f>
        <v>A</v>
      </c>
    </row>
    <row r="8" customFormat="false" ht="15" hidden="false" customHeight="true" outlineLevel="0" collapsed="false">
      <c r="A8" s="15" t="n">
        <v>4</v>
      </c>
      <c r="B8" s="16" t="s">
        <v>52</v>
      </c>
      <c r="C8" s="15" t="str">
        <f aca="false">INDEX(Raw_Material_Data!$B$5:$B$16,MATCH($B8,Raw_Material_Data!$A$5:$A$16,0))</f>
        <v>Rosin Modified Resin</v>
      </c>
      <c r="D8" s="17" t="n">
        <f aca="false">INDEX(Raw_Material_Data!$E$5:$E$16,MATCH($B8,Raw_Material_Data!$A$5:$A$16,0))*365*INDEX(Raw_Material_Data!$I$5:$I$16,MATCH($B8,Raw_Material_Data!$A$5:$A$16,0))</f>
        <v>3066000</v>
      </c>
      <c r="E8" s="17" t="n">
        <f aca="false">E7+D8</f>
        <v>27648750</v>
      </c>
      <c r="F8" s="18" t="n">
        <f aca="false">E8/E$16</f>
        <v>0.648766700924974</v>
      </c>
      <c r="G8" s="15" t="str">
        <f aca="false">IF(F8&lt;=0.7,"A",IF(F8&lt;=0.9,"B","C"))</f>
        <v>A</v>
      </c>
    </row>
    <row r="9" customFormat="false" ht="15" hidden="false" customHeight="true" outlineLevel="0" collapsed="false">
      <c r="A9" s="11" t="n">
        <v>5</v>
      </c>
      <c r="B9" s="12" t="s">
        <v>56</v>
      </c>
      <c r="C9" s="11" t="str">
        <f aca="false">INDEX(Raw_Material_Data!$B$5:$B$16,MATCH($B9,Raw_Material_Data!$A$5:$A$16,0))</f>
        <v>Nitrocellulose Resin</v>
      </c>
      <c r="D9" s="13" t="n">
        <f aca="false">INDEX(Raw_Material_Data!$E$5:$E$16,MATCH($B9,Raw_Material_Data!$A$5:$A$16,0))*365*INDEX(Raw_Material_Data!$I$5:$I$16,MATCH($B9,Raw_Material_Data!$A$5:$A$16,0))</f>
        <v>2828750</v>
      </c>
      <c r="E9" s="13" t="n">
        <f aca="false">E8+D9</f>
        <v>30477500</v>
      </c>
      <c r="F9" s="14" t="n">
        <f aca="false">E9/E$16</f>
        <v>0.715142171976704</v>
      </c>
      <c r="G9" s="11" t="str">
        <f aca="false">IF(F9&lt;=0.7,"A",IF(F9&lt;=0.9,"B","C"))</f>
        <v>B</v>
      </c>
    </row>
    <row r="10" customFormat="false" ht="15" hidden="false" customHeight="true" outlineLevel="0" collapsed="false">
      <c r="A10" s="15" t="n">
        <v>6</v>
      </c>
      <c r="B10" s="16" t="s">
        <v>62</v>
      </c>
      <c r="C10" s="15" t="str">
        <f aca="false">INDEX(Raw_Material_Data!$B$5:$B$16,MATCH($B10,Raw_Material_Data!$A$5:$A$16,0))</f>
        <v>Ethyl Acetate Solvent</v>
      </c>
      <c r="D10" s="17" t="n">
        <f aca="false">INDEX(Raw_Material_Data!$E$5:$E$16,MATCH($B10,Raw_Material_Data!$A$5:$A$16,0))*365*INDEX(Raw_Material_Data!$I$5:$I$16,MATCH($B10,Raw_Material_Data!$A$5:$A$16,0))</f>
        <v>2774000</v>
      </c>
      <c r="E10" s="17" t="n">
        <f aca="false">E9+D10</f>
        <v>33251500</v>
      </c>
      <c r="F10" s="18" t="n">
        <f aca="false">E10/E$16</f>
        <v>0.780232956491949</v>
      </c>
      <c r="G10" s="15" t="str">
        <f aca="false">IF(F10&lt;=0.7,"A",IF(F10&lt;=0.9,"B","C"))</f>
        <v>B</v>
      </c>
    </row>
    <row r="11" customFormat="false" ht="15" hidden="false" customHeight="true" outlineLevel="0" collapsed="false">
      <c r="A11" s="11" t="n">
        <v>7</v>
      </c>
      <c r="B11" s="12" t="s">
        <v>46</v>
      </c>
      <c r="C11" s="11" t="str">
        <f aca="false">INDEX(Raw_Material_Data!$B$5:$B$16,MATCH($B11,Raw_Material_Data!$A$5:$A$16,0))</f>
        <v>Titanium Dioxide White Pigment</v>
      </c>
      <c r="D11" s="13" t="n">
        <f aca="false">INDEX(Raw_Material_Data!$E$5:$E$16,MATCH($B11,Raw_Material_Data!$A$5:$A$16,0))*365*INDEX(Raw_Material_Data!$I$5:$I$16,MATCH($B11,Raw_Material_Data!$A$5:$A$16,0))</f>
        <v>2299500</v>
      </c>
      <c r="E11" s="13" t="n">
        <f aca="false">E10+D11</f>
        <v>35551000</v>
      </c>
      <c r="F11" s="14" t="n">
        <f aca="false">E11/E$16</f>
        <v>0.834189791024323</v>
      </c>
      <c r="G11" s="11" t="str">
        <f aca="false">IF(F11&lt;=0.7,"A",IF(F11&lt;=0.9,"B","C"))</f>
        <v>B</v>
      </c>
    </row>
    <row r="12" customFormat="false" ht="15" hidden="false" customHeight="true" outlineLevel="0" collapsed="false">
      <c r="A12" s="15" t="n">
        <v>8</v>
      </c>
      <c r="B12" s="16" t="s">
        <v>59</v>
      </c>
      <c r="C12" s="15" t="str">
        <f aca="false">INDEX(Raw_Material_Data!$B$5:$B$16,MATCH($B12,Raw_Material_Data!$A$5:$A$16,0))</f>
        <v>Acrylic Resin</v>
      </c>
      <c r="D12" s="17" t="n">
        <f aca="false">INDEX(Raw_Material_Data!$E$5:$E$16,MATCH($B12,Raw_Material_Data!$A$5:$A$16,0))*365*INDEX(Raw_Material_Data!$I$5:$I$16,MATCH($B12,Raw_Material_Data!$A$5:$A$16,0))</f>
        <v>2299500</v>
      </c>
      <c r="E12" s="17" t="n">
        <f aca="false">E11+D12</f>
        <v>37850500</v>
      </c>
      <c r="F12" s="18" t="n">
        <f aca="false">E12/E$16</f>
        <v>0.888146625556698</v>
      </c>
      <c r="G12" s="15" t="str">
        <f aca="false">IF(F12&lt;=0.7,"A",IF(F12&lt;=0.9,"B","C"))</f>
        <v>B</v>
      </c>
    </row>
    <row r="13" customFormat="false" ht="15" hidden="false" customHeight="true" outlineLevel="0" collapsed="false">
      <c r="A13" s="11" t="n">
        <v>9</v>
      </c>
      <c r="B13" s="12" t="s">
        <v>65</v>
      </c>
      <c r="C13" s="11" t="str">
        <f aca="false">INDEX(Raw_Material_Data!$B$5:$B$16,MATCH($B13,Raw_Material_Data!$A$5:$A$16,0))</f>
        <v>IPA Solvent</v>
      </c>
      <c r="D13" s="13" t="n">
        <f aca="false">INDEX(Raw_Material_Data!$E$5:$E$16,MATCH($B13,Raw_Material_Data!$A$5:$A$16,0))*365*INDEX(Raw_Material_Data!$I$5:$I$16,MATCH($B13,Raw_Material_Data!$A$5:$A$16,0))</f>
        <v>1806750</v>
      </c>
      <c r="E13" s="13" t="n">
        <f aca="false">E12+D13</f>
        <v>39657250</v>
      </c>
      <c r="F13" s="14" t="n">
        <f aca="false">E13/E$16</f>
        <v>0.930541281260706</v>
      </c>
      <c r="G13" s="11" t="str">
        <f aca="false">IF(F13&lt;=0.7,"A",IF(F13&lt;=0.9,"B","C"))</f>
        <v>C</v>
      </c>
    </row>
    <row r="14" customFormat="false" ht="15" hidden="false" customHeight="true" outlineLevel="0" collapsed="false">
      <c r="A14" s="15" t="n">
        <v>10</v>
      </c>
      <c r="B14" s="16" t="s">
        <v>49</v>
      </c>
      <c r="C14" s="15" t="str">
        <f aca="false">INDEX(Raw_Material_Data!$B$5:$B$16,MATCH($B14,Raw_Material_Data!$A$5:$A$16,0))</f>
        <v>Carbon Black Pigment</v>
      </c>
      <c r="D14" s="17" t="n">
        <f aca="false">INDEX(Raw_Material_Data!$E$5:$E$16,MATCH($B14,Raw_Material_Data!$A$5:$A$16,0))*365*INDEX(Raw_Material_Data!$I$5:$I$16,MATCH($B14,Raw_Material_Data!$A$5:$A$16,0))</f>
        <v>1204500</v>
      </c>
      <c r="E14" s="17" t="n">
        <f aca="false">E13+D14</f>
        <v>40861750</v>
      </c>
      <c r="F14" s="18" t="n">
        <f aca="false">E14/E$16</f>
        <v>0.958804385063378</v>
      </c>
      <c r="G14" s="15" t="str">
        <f aca="false">IF(F14&lt;=0.7,"A",IF(F14&lt;=0.9,"B","C"))</f>
        <v>C</v>
      </c>
    </row>
    <row r="15" customFormat="false" ht="15" hidden="false" customHeight="true" outlineLevel="0" collapsed="false">
      <c r="A15" s="11" t="n">
        <v>11</v>
      </c>
      <c r="B15" s="12" t="s">
        <v>68</v>
      </c>
      <c r="C15" s="11" t="str">
        <f aca="false">INDEX(Raw_Material_Data!$B$5:$B$16,MATCH($B15,Raw_Material_Data!$A$5:$A$16,0))</f>
        <v>Wax Compound Additive</v>
      </c>
      <c r="D15" s="13" t="n">
        <f aca="false">INDEX(Raw_Material_Data!$E$5:$E$16,MATCH($B15,Raw_Material_Data!$A$5:$A$16,0))*365*INDEX(Raw_Material_Data!$I$5:$I$16,MATCH($B15,Raw_Material_Data!$A$5:$A$16,0))</f>
        <v>934400</v>
      </c>
      <c r="E15" s="13" t="n">
        <f aca="false">E14+D15</f>
        <v>41796150</v>
      </c>
      <c r="F15" s="14" t="n">
        <f aca="false">E15/E$16</f>
        <v>0.980729701952724</v>
      </c>
      <c r="G15" s="11" t="str">
        <f aca="false">IF(F15&lt;=0.7,"A",IF(F15&lt;=0.9,"B","C"))</f>
        <v>C</v>
      </c>
    </row>
    <row r="16" customFormat="false" ht="15" hidden="false" customHeight="true" outlineLevel="0" collapsed="false">
      <c r="A16" s="15" t="n">
        <v>12</v>
      </c>
      <c r="B16" s="16" t="s">
        <v>72</v>
      </c>
      <c r="C16" s="15" t="str">
        <f aca="false">INDEX(Raw_Material_Data!$B$5:$B$16,MATCH($B16,Raw_Material_Data!$A$5:$A$16,0))</f>
        <v>Defoamer Additive</v>
      </c>
      <c r="D16" s="17" t="n">
        <f aca="false">INDEX(Raw_Material_Data!$E$5:$E$16,MATCH($B16,Raw_Material_Data!$A$5:$A$16,0))*365*INDEX(Raw_Material_Data!$I$5:$I$16,MATCH($B16,Raw_Material_Data!$A$5:$A$16,0))</f>
        <v>821250</v>
      </c>
      <c r="E16" s="17" t="n">
        <f aca="false">E15+D16</f>
        <v>42617400</v>
      </c>
      <c r="F16" s="18" t="n">
        <f aca="false">E16/E$16</f>
        <v>1</v>
      </c>
      <c r="G16" s="15" t="str">
        <f aca="false">IF(F16&lt;=0.7,"A",IF(F16&lt;=0.9,"B","C"))</f>
        <v>C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8" min="5" style="1" width="9"/>
    <col collapsed="false" customWidth="true" hidden="false" outlineLevel="0" max="9" min="9" style="1" width="12"/>
    <col collapsed="false" customWidth="true" hidden="false" outlineLevel="0" max="11" min="11" style="1" width="16"/>
    <col collapsed="false" customWidth="true" hidden="false" outlineLevel="0" max="12" min="12" style="1" width="8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6" t="s">
        <v>90</v>
      </c>
      <c r="B4" s="6" t="s">
        <v>31</v>
      </c>
      <c r="C4" s="6" t="s">
        <v>32</v>
      </c>
      <c r="D4" s="6" t="s">
        <v>35</v>
      </c>
      <c r="E4" s="6" t="s">
        <v>37</v>
      </c>
      <c r="F4" s="6" t="s">
        <v>40</v>
      </c>
      <c r="G4" s="6" t="s">
        <v>91</v>
      </c>
      <c r="H4" s="6" t="s">
        <v>92</v>
      </c>
      <c r="I4" s="6" t="s">
        <v>93</v>
      </c>
      <c r="K4" s="19" t="s">
        <v>94</v>
      </c>
      <c r="L4" s="20" t="n">
        <v>14</v>
      </c>
    </row>
    <row r="5" customFormat="false" ht="15" hidden="false" customHeight="true" outlineLevel="0" collapsed="false">
      <c r="A5" s="21" t="n">
        <v>1</v>
      </c>
      <c r="B5" s="12" t="s">
        <v>42</v>
      </c>
      <c r="C5" s="21" t="str">
        <f aca="false">INDEX(Raw_Material_Data!$B$5:$B$16,MATCH($B5,Raw_Material_Data!$A$5:$A$16,0))</f>
        <v>Phthalocyanine Blue Pigment</v>
      </c>
      <c r="D5" s="22" t="n">
        <f aca="false">INDEX(Raw_Material_Data!$E$5:$E$16,MATCH($B5,Raw_Material_Data!$A$5:$A$16,0))</f>
        <v>18</v>
      </c>
      <c r="E5" s="22" t="n">
        <f aca="false">INDEX(Raw_Material_Data!$G$5:$G$16,MATCH($B5,Raw_Material_Data!$A$5:$A$16,0))</f>
        <v>21</v>
      </c>
      <c r="F5" s="22" t="n">
        <f aca="false">INDEX(Raw_Material_Data!$J$5:$J$16,MATCH($B5,Raw_Material_Data!$A$5:$A$16,0))</f>
        <v>350</v>
      </c>
      <c r="G5" s="22" t="n">
        <f aca="false">$L$4</f>
        <v>14</v>
      </c>
      <c r="H5" s="22" t="n">
        <f aca="false">D5*$L$4</f>
        <v>252</v>
      </c>
      <c r="I5" s="21" t="str">
        <f aca="false">IF(F5&lt;H5,"REORDER NOW","OK")</f>
        <v>OK</v>
      </c>
    </row>
    <row r="6" customFormat="false" ht="15" hidden="false" customHeight="true" outlineLevel="0" collapsed="false">
      <c r="A6" s="23" t="n">
        <v>2</v>
      </c>
      <c r="B6" s="16" t="s">
        <v>46</v>
      </c>
      <c r="C6" s="23" t="str">
        <f aca="false">INDEX(Raw_Material_Data!$B$5:$B$16,MATCH($B6,Raw_Material_Data!$A$5:$A$16,0))</f>
        <v>Titanium Dioxide White Pigment</v>
      </c>
      <c r="D6" s="24" t="n">
        <f aca="false">INDEX(Raw_Material_Data!$E$5:$E$16,MATCH($B6,Raw_Material_Data!$A$5:$A$16,0))</f>
        <v>35</v>
      </c>
      <c r="E6" s="24" t="n">
        <f aca="false">INDEX(Raw_Material_Data!$G$5:$G$16,MATCH($B6,Raw_Material_Data!$A$5:$A$16,0))</f>
        <v>18</v>
      </c>
      <c r="F6" s="24" t="n">
        <f aca="false">INDEX(Raw_Material_Data!$J$5:$J$16,MATCH($B6,Raw_Material_Data!$A$5:$A$16,0))</f>
        <v>900</v>
      </c>
      <c r="G6" s="24" t="n">
        <f aca="false">$L$4</f>
        <v>14</v>
      </c>
      <c r="H6" s="24" t="n">
        <f aca="false">D6*$L$4</f>
        <v>490</v>
      </c>
      <c r="I6" s="23" t="str">
        <f aca="false">IF(F6&lt;H6,"REORDER NOW","OK")</f>
        <v>OK</v>
      </c>
    </row>
    <row r="7" customFormat="false" ht="15" hidden="false" customHeight="true" outlineLevel="0" collapsed="false">
      <c r="A7" s="21" t="n">
        <v>3</v>
      </c>
      <c r="B7" s="12" t="s">
        <v>49</v>
      </c>
      <c r="C7" s="21" t="str">
        <f aca="false">INDEX(Raw_Material_Data!$B$5:$B$16,MATCH($B7,Raw_Material_Data!$A$5:$A$16,0))</f>
        <v>Carbon Black Pigment</v>
      </c>
      <c r="D7" s="22" t="n">
        <f aca="false">INDEX(Raw_Material_Data!$E$5:$E$16,MATCH($B7,Raw_Material_Data!$A$5:$A$16,0))</f>
        <v>22</v>
      </c>
      <c r="E7" s="22" t="n">
        <f aca="false">INDEX(Raw_Material_Data!$G$5:$G$16,MATCH($B7,Raw_Material_Data!$A$5:$A$16,0))</f>
        <v>15</v>
      </c>
      <c r="F7" s="22" t="n">
        <f aca="false">INDEX(Raw_Material_Data!$J$5:$J$16,MATCH($B7,Raw_Material_Data!$A$5:$A$16,0))</f>
        <v>460</v>
      </c>
      <c r="G7" s="22" t="n">
        <f aca="false">$L$4</f>
        <v>14</v>
      </c>
      <c r="H7" s="22" t="n">
        <f aca="false">D7*$L$4</f>
        <v>308</v>
      </c>
      <c r="I7" s="21" t="str">
        <f aca="false">IF(F7&lt;H7,"REORDER NOW","OK")</f>
        <v>OK</v>
      </c>
    </row>
    <row r="8" customFormat="false" ht="15" hidden="false" customHeight="true" outlineLevel="0" collapsed="false">
      <c r="A8" s="23" t="n">
        <v>4</v>
      </c>
      <c r="B8" s="16" t="s">
        <v>52</v>
      </c>
      <c r="C8" s="23" t="str">
        <f aca="false">INDEX(Raw_Material_Data!$B$5:$B$16,MATCH($B8,Raw_Material_Data!$A$5:$A$16,0))</f>
        <v>Rosin Modified Resin</v>
      </c>
      <c r="D8" s="24" t="n">
        <f aca="false">INDEX(Raw_Material_Data!$E$5:$E$16,MATCH($B8,Raw_Material_Data!$A$5:$A$16,0))</f>
        <v>60</v>
      </c>
      <c r="E8" s="24" t="n">
        <f aca="false">INDEX(Raw_Material_Data!$G$5:$G$16,MATCH($B8,Raw_Material_Data!$A$5:$A$16,0))</f>
        <v>10</v>
      </c>
      <c r="F8" s="24" t="n">
        <f aca="false">INDEX(Raw_Material_Data!$J$5:$J$16,MATCH($B8,Raw_Material_Data!$A$5:$A$16,0))</f>
        <v>850</v>
      </c>
      <c r="G8" s="24" t="n">
        <f aca="false">$L$4</f>
        <v>14</v>
      </c>
      <c r="H8" s="24" t="n">
        <f aca="false">D8*$L$4</f>
        <v>840</v>
      </c>
      <c r="I8" s="23" t="str">
        <f aca="false">IF(F8&lt;H8,"REORDER NOW","OK")</f>
        <v>OK</v>
      </c>
    </row>
    <row r="9" customFormat="false" ht="15" hidden="false" customHeight="true" outlineLevel="0" collapsed="false">
      <c r="A9" s="21" t="n">
        <v>5</v>
      </c>
      <c r="B9" s="12" t="s">
        <v>56</v>
      </c>
      <c r="C9" s="21" t="str">
        <f aca="false">INDEX(Raw_Material_Data!$B$5:$B$16,MATCH($B9,Raw_Material_Data!$A$5:$A$16,0))</f>
        <v>Nitrocellulose Resin</v>
      </c>
      <c r="D9" s="22" t="n">
        <f aca="false">INDEX(Raw_Material_Data!$E$5:$E$16,MATCH($B9,Raw_Material_Data!$A$5:$A$16,0))</f>
        <v>25</v>
      </c>
      <c r="E9" s="22" t="n">
        <f aca="false">INDEX(Raw_Material_Data!$G$5:$G$16,MATCH($B9,Raw_Material_Data!$A$5:$A$16,0))</f>
        <v>20</v>
      </c>
      <c r="F9" s="22" t="n">
        <f aca="false">INDEX(Raw_Material_Data!$J$5:$J$16,MATCH($B9,Raw_Material_Data!$A$5:$A$16,0))</f>
        <v>800</v>
      </c>
      <c r="G9" s="22" t="n">
        <f aca="false">$L$4</f>
        <v>14</v>
      </c>
      <c r="H9" s="22" t="n">
        <f aca="false">D9*$L$4</f>
        <v>350</v>
      </c>
      <c r="I9" s="21" t="str">
        <f aca="false">IF(F9&lt;H9,"REORDER NOW","OK")</f>
        <v>OK</v>
      </c>
    </row>
    <row r="10" customFormat="false" ht="15" hidden="false" customHeight="true" outlineLevel="0" collapsed="false">
      <c r="A10" s="23" t="n">
        <v>6</v>
      </c>
      <c r="B10" s="16" t="s">
        <v>59</v>
      </c>
      <c r="C10" s="23" t="str">
        <f aca="false">INDEX(Raw_Material_Data!$B$5:$B$16,MATCH($B10,Raw_Material_Data!$A$5:$A$16,0))</f>
        <v>Acrylic Resin</v>
      </c>
      <c r="D10" s="24" t="n">
        <f aca="false">INDEX(Raw_Material_Data!$E$5:$E$16,MATCH($B10,Raw_Material_Data!$A$5:$A$16,0))</f>
        <v>30</v>
      </c>
      <c r="E10" s="24" t="n">
        <f aca="false">INDEX(Raw_Material_Data!$G$5:$G$16,MATCH($B10,Raw_Material_Data!$A$5:$A$16,0))</f>
        <v>12</v>
      </c>
      <c r="F10" s="24" t="n">
        <f aca="false">INDEX(Raw_Material_Data!$J$5:$J$16,MATCH($B10,Raw_Material_Data!$A$5:$A$16,0))</f>
        <v>600</v>
      </c>
      <c r="G10" s="24" t="n">
        <f aca="false">$L$4</f>
        <v>14</v>
      </c>
      <c r="H10" s="24" t="n">
        <f aca="false">D10*$L$4</f>
        <v>420</v>
      </c>
      <c r="I10" s="23" t="str">
        <f aca="false">IF(F10&lt;H10,"REORDER NOW","OK")</f>
        <v>OK</v>
      </c>
    </row>
    <row r="11" customFormat="false" ht="15" hidden="false" customHeight="true" outlineLevel="0" collapsed="false">
      <c r="A11" s="21" t="n">
        <v>7</v>
      </c>
      <c r="B11" s="12" t="s">
        <v>62</v>
      </c>
      <c r="C11" s="21" t="str">
        <f aca="false">INDEX(Raw_Material_Data!$B$5:$B$16,MATCH($B11,Raw_Material_Data!$A$5:$A$16,0))</f>
        <v>Ethyl Acetate Solvent</v>
      </c>
      <c r="D11" s="22" t="n">
        <f aca="false">INDEX(Raw_Material_Data!$E$5:$E$16,MATCH($B11,Raw_Material_Data!$A$5:$A$16,0))</f>
        <v>80</v>
      </c>
      <c r="E11" s="22" t="n">
        <f aca="false">INDEX(Raw_Material_Data!$G$5:$G$16,MATCH($B11,Raw_Material_Data!$A$5:$A$16,0))</f>
        <v>7</v>
      </c>
      <c r="F11" s="22" t="n">
        <f aca="false">INDEX(Raw_Material_Data!$J$5:$J$16,MATCH($B11,Raw_Material_Data!$A$5:$A$16,0))</f>
        <v>850</v>
      </c>
      <c r="G11" s="22" t="n">
        <f aca="false">$L$4</f>
        <v>14</v>
      </c>
      <c r="H11" s="22" t="n">
        <f aca="false">D11*$L$4</f>
        <v>1120</v>
      </c>
      <c r="I11" s="21" t="str">
        <f aca="false">IF(F11&lt;H11,"REORDER NOW","OK")</f>
        <v>REORDER NOW</v>
      </c>
    </row>
    <row r="12" customFormat="false" ht="15" hidden="false" customHeight="true" outlineLevel="0" collapsed="false">
      <c r="A12" s="23" t="n">
        <v>8</v>
      </c>
      <c r="B12" s="16" t="s">
        <v>65</v>
      </c>
      <c r="C12" s="23" t="str">
        <f aca="false">INDEX(Raw_Material_Data!$B$5:$B$16,MATCH($B12,Raw_Material_Data!$A$5:$A$16,0))</f>
        <v>IPA Solvent</v>
      </c>
      <c r="D12" s="24" t="n">
        <f aca="false">INDEX(Raw_Material_Data!$E$5:$E$16,MATCH($B12,Raw_Material_Data!$A$5:$A$16,0))</f>
        <v>45</v>
      </c>
      <c r="E12" s="24" t="n">
        <f aca="false">INDEX(Raw_Material_Data!$G$5:$G$16,MATCH($B12,Raw_Material_Data!$A$5:$A$16,0))</f>
        <v>9</v>
      </c>
      <c r="F12" s="24" t="n">
        <f aca="false">INDEX(Raw_Material_Data!$J$5:$J$16,MATCH($B12,Raw_Material_Data!$A$5:$A$16,0))</f>
        <v>580</v>
      </c>
      <c r="G12" s="24" t="n">
        <f aca="false">$L$4</f>
        <v>14</v>
      </c>
      <c r="H12" s="24" t="n">
        <f aca="false">D12*$L$4</f>
        <v>630</v>
      </c>
      <c r="I12" s="23" t="str">
        <f aca="false">IF(F12&lt;H12,"REORDER NOW","OK")</f>
        <v>REORDER NOW</v>
      </c>
    </row>
    <row r="13" customFormat="false" ht="15" hidden="false" customHeight="true" outlineLevel="0" collapsed="false">
      <c r="A13" s="21" t="n">
        <v>9</v>
      </c>
      <c r="B13" s="12" t="s">
        <v>68</v>
      </c>
      <c r="C13" s="21" t="str">
        <f aca="false">INDEX(Raw_Material_Data!$B$5:$B$16,MATCH($B13,Raw_Material_Data!$A$5:$A$16,0))</f>
        <v>Wax Compound Additive</v>
      </c>
      <c r="D13" s="22" t="n">
        <f aca="false">INDEX(Raw_Material_Data!$E$5:$E$16,MATCH($B13,Raw_Material_Data!$A$5:$A$16,0))</f>
        <v>8</v>
      </c>
      <c r="E13" s="22" t="n">
        <f aca="false">INDEX(Raw_Material_Data!$G$5:$G$16,MATCH($B13,Raw_Material_Data!$A$5:$A$16,0))</f>
        <v>14</v>
      </c>
      <c r="F13" s="22" t="n">
        <f aca="false">INDEX(Raw_Material_Data!$J$5:$J$16,MATCH($B13,Raw_Material_Data!$A$5:$A$16,0))</f>
        <v>200</v>
      </c>
      <c r="G13" s="22" t="n">
        <f aca="false">$L$4</f>
        <v>14</v>
      </c>
      <c r="H13" s="22" t="n">
        <f aca="false">D13*$L$4</f>
        <v>112</v>
      </c>
      <c r="I13" s="21" t="str">
        <f aca="false">IF(F13&lt;H13,"REORDER NOW","OK")</f>
        <v>OK</v>
      </c>
    </row>
    <row r="14" customFormat="false" ht="15" hidden="false" customHeight="true" outlineLevel="0" collapsed="false">
      <c r="A14" s="23" t="n">
        <v>10</v>
      </c>
      <c r="B14" s="16" t="s">
        <v>72</v>
      </c>
      <c r="C14" s="23" t="str">
        <f aca="false">INDEX(Raw_Material_Data!$B$5:$B$16,MATCH($B14,Raw_Material_Data!$A$5:$A$16,0))</f>
        <v>Defoamer Additive</v>
      </c>
      <c r="D14" s="24" t="n">
        <f aca="false">INDEX(Raw_Material_Data!$E$5:$E$16,MATCH($B14,Raw_Material_Data!$A$5:$A$16,0))</f>
        <v>5</v>
      </c>
      <c r="E14" s="24" t="n">
        <f aca="false">INDEX(Raw_Material_Data!$G$5:$G$16,MATCH($B14,Raw_Material_Data!$A$5:$A$16,0))</f>
        <v>10</v>
      </c>
      <c r="F14" s="24" t="n">
        <f aca="false">INDEX(Raw_Material_Data!$J$5:$J$16,MATCH($B14,Raw_Material_Data!$A$5:$A$16,0))</f>
        <v>100</v>
      </c>
      <c r="G14" s="24" t="n">
        <f aca="false">$L$4</f>
        <v>14</v>
      </c>
      <c r="H14" s="24" t="n">
        <f aca="false">D14*$L$4</f>
        <v>70</v>
      </c>
      <c r="I14" s="23" t="str">
        <f aca="false">IF(F14&lt;H14,"REORDER NOW","OK")</f>
        <v>OK</v>
      </c>
    </row>
    <row r="15" customFormat="false" ht="15" hidden="false" customHeight="true" outlineLevel="0" collapsed="false">
      <c r="A15" s="21" t="n">
        <v>11</v>
      </c>
      <c r="B15" s="12" t="s">
        <v>75</v>
      </c>
      <c r="C15" s="21" t="str">
        <f aca="false">INDEX(Raw_Material_Data!$B$5:$B$16,MATCH($B15,Raw_Material_Data!$A$5:$A$16,0))</f>
        <v>Aluminium Paste (Metallic Silver)</v>
      </c>
      <c r="D15" s="22" t="n">
        <f aca="false">INDEX(Raw_Material_Data!$E$5:$E$16,MATCH($B15,Raw_Material_Data!$A$5:$A$16,0))</f>
        <v>10</v>
      </c>
      <c r="E15" s="22" t="n">
        <f aca="false">INDEX(Raw_Material_Data!$G$5:$G$16,MATCH($B15,Raw_Material_Data!$A$5:$A$16,0))</f>
        <v>30</v>
      </c>
      <c r="F15" s="22" t="n">
        <f aca="false">INDEX(Raw_Material_Data!$J$5:$J$16,MATCH($B15,Raw_Material_Data!$A$5:$A$16,0))</f>
        <v>200</v>
      </c>
      <c r="G15" s="22" t="n">
        <f aca="false">$L$4</f>
        <v>14</v>
      </c>
      <c r="H15" s="22" t="n">
        <f aca="false">D15*$L$4</f>
        <v>140</v>
      </c>
      <c r="I15" s="21" t="str">
        <f aca="false">IF(F15&lt;H15,"REORDER NOW","OK")</f>
        <v>OK</v>
      </c>
    </row>
    <row r="16" customFormat="false" ht="15" hidden="false" customHeight="true" outlineLevel="0" collapsed="false">
      <c r="A16" s="23" t="n">
        <v>12</v>
      </c>
      <c r="B16" s="16" t="s">
        <v>78</v>
      </c>
      <c r="C16" s="23" t="str">
        <f aca="false">INDEX(Raw_Material_Data!$B$5:$B$16,MATCH($B16,Raw_Material_Data!$A$5:$A$16,0))</f>
        <v>Yellow/Red Organic Pigment</v>
      </c>
      <c r="D16" s="24" t="n">
        <f aca="false">INDEX(Raw_Material_Data!$E$5:$E$16,MATCH($B16,Raw_Material_Data!$A$5:$A$16,0))</f>
        <v>15</v>
      </c>
      <c r="E16" s="24" t="n">
        <f aca="false">INDEX(Raw_Material_Data!$G$5:$G$16,MATCH($B16,Raw_Material_Data!$A$5:$A$16,0))</f>
        <v>16</v>
      </c>
      <c r="F16" s="24" t="n">
        <f aca="false">INDEX(Raw_Material_Data!$J$5:$J$16,MATCH($B16,Raw_Material_Data!$A$5:$A$16,0))</f>
        <v>340</v>
      </c>
      <c r="G16" s="24" t="n">
        <f aca="false">$L$4</f>
        <v>14</v>
      </c>
      <c r="H16" s="24" t="n">
        <f aca="false">D16*$L$4</f>
        <v>210</v>
      </c>
      <c r="I16" s="23" t="str">
        <f aca="false">IF(F16&lt;H16,"REORDER NOW","OK")</f>
        <v>OK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6" min="5" style="1" width="8"/>
    <col collapsed="false" customWidth="true" hidden="false" outlineLevel="0" max="9" min="7" style="1" width="9"/>
    <col collapsed="false" customWidth="true" hidden="false" outlineLevel="0" max="10" min="10" style="1" width="8"/>
    <col collapsed="false" customWidth="true" hidden="false" outlineLevel="0" max="11" min="11" style="1" width="12"/>
    <col collapsed="false" customWidth="true" hidden="false" outlineLevel="0" max="13" min="13" style="1" width="13"/>
    <col collapsed="false" customWidth="true" hidden="false" outlineLevel="0" max="14" min="14" style="1" width="9"/>
  </cols>
  <sheetData>
    <row r="1" customFormat="false" ht="27.75" hidden="false" customHeight="true" outlineLevel="0" collapsed="false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96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6" t="s">
        <v>90</v>
      </c>
      <c r="B4" s="6" t="s">
        <v>31</v>
      </c>
      <c r="C4" s="6" t="s">
        <v>32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40</v>
      </c>
      <c r="I4" s="6" t="s">
        <v>97</v>
      </c>
      <c r="J4" s="6" t="s">
        <v>98</v>
      </c>
      <c r="K4" s="6" t="s">
        <v>93</v>
      </c>
      <c r="M4" s="19" t="s">
        <v>99</v>
      </c>
      <c r="N4" s="25" t="n">
        <v>0.95</v>
      </c>
    </row>
    <row r="5" customFormat="false" ht="15" hidden="false" customHeight="true" outlineLevel="0" collapsed="false">
      <c r="A5" s="21" t="n">
        <v>1</v>
      </c>
      <c r="B5" s="12" t="s">
        <v>42</v>
      </c>
      <c r="C5" s="21" t="str">
        <f aca="false">INDEX(Raw_Material_Data!$B$5:$B$16,MATCH($B5,Raw_Material_Data!$A$5:$A$16,0))</f>
        <v>Phthalocyanine Blue Pigment</v>
      </c>
      <c r="D5" s="22" t="n">
        <f aca="false">INDEX(Raw_Material_Data!$E$5:$E$16,MATCH($B5,Raw_Material_Data!$A$5:$A$16,0))</f>
        <v>18</v>
      </c>
      <c r="E5" s="22" t="n">
        <f aca="false">INDEX(Raw_Material_Data!$F$5:$F$16,MATCH($B5,Raw_Material_Data!$A$5:$A$16,0))</f>
        <v>6</v>
      </c>
      <c r="F5" s="22" t="n">
        <f aca="false">INDEX(Raw_Material_Data!$G$5:$G$16,MATCH($B5,Raw_Material_Data!$A$5:$A$16,0))</f>
        <v>21</v>
      </c>
      <c r="G5" s="22" t="n">
        <f aca="false">INDEX(Raw_Material_Data!$H$5:$H$16,MATCH($B5,Raw_Material_Data!$A$5:$A$16,0))</f>
        <v>4</v>
      </c>
      <c r="H5" s="22" t="n">
        <f aca="false">INDEX(Raw_Material_Data!$J$5:$J$16,MATCH($B5,Raw_Material_Data!$A$5:$A$16,0))</f>
        <v>350</v>
      </c>
      <c r="I5" s="26" t="n">
        <f aca="false">$N$5*SQRT(F5*E5^2+D5^2*G5^2)</f>
        <v>126.771164376315</v>
      </c>
      <c r="J5" s="26" t="n">
        <f aca="false">D5*F5+I5</f>
        <v>504.771164376315</v>
      </c>
      <c r="K5" s="21" t="str">
        <f aca="false">IF(H5&lt;J5,"REORDER NOW","OK")</f>
        <v>REORDER NOW</v>
      </c>
      <c r="M5" s="19" t="s">
        <v>100</v>
      </c>
      <c r="N5" s="27" t="n">
        <f aca="false">NORMSINV(N4)</f>
        <v>1.64485362695147</v>
      </c>
    </row>
    <row r="6" customFormat="false" ht="15" hidden="false" customHeight="true" outlineLevel="0" collapsed="false">
      <c r="A6" s="23" t="n">
        <v>2</v>
      </c>
      <c r="B6" s="16" t="s">
        <v>46</v>
      </c>
      <c r="C6" s="23" t="str">
        <f aca="false">INDEX(Raw_Material_Data!$B$5:$B$16,MATCH($B6,Raw_Material_Data!$A$5:$A$16,0))</f>
        <v>Titanium Dioxide White Pigment</v>
      </c>
      <c r="D6" s="24" t="n">
        <f aca="false">INDEX(Raw_Material_Data!$E$5:$E$16,MATCH($B6,Raw_Material_Data!$A$5:$A$16,0))</f>
        <v>35</v>
      </c>
      <c r="E6" s="24" t="n">
        <f aca="false">INDEX(Raw_Material_Data!$F$5:$F$16,MATCH($B6,Raw_Material_Data!$A$5:$A$16,0))</f>
        <v>10</v>
      </c>
      <c r="F6" s="24" t="n">
        <f aca="false">INDEX(Raw_Material_Data!$G$5:$G$16,MATCH($B6,Raw_Material_Data!$A$5:$A$16,0))</f>
        <v>18</v>
      </c>
      <c r="G6" s="24" t="n">
        <f aca="false">INDEX(Raw_Material_Data!$H$5:$H$16,MATCH($B6,Raw_Material_Data!$A$5:$A$16,0))</f>
        <v>3</v>
      </c>
      <c r="H6" s="24" t="n">
        <f aca="false">INDEX(Raw_Material_Data!$J$5:$J$16,MATCH($B6,Raw_Material_Data!$A$5:$A$16,0))</f>
        <v>900</v>
      </c>
      <c r="I6" s="28" t="n">
        <f aca="false">$N$5*SQRT(F6*E6^2+D6^2*G6^2)</f>
        <v>186.275588306073</v>
      </c>
      <c r="J6" s="28" t="n">
        <f aca="false">D6*F6+I6</f>
        <v>816.275588306073</v>
      </c>
      <c r="K6" s="23" t="str">
        <f aca="false">IF(H6&lt;J6,"REORDER NOW","OK")</f>
        <v>OK</v>
      </c>
    </row>
    <row r="7" customFormat="false" ht="15" hidden="false" customHeight="true" outlineLevel="0" collapsed="false">
      <c r="A7" s="21" t="n">
        <v>3</v>
      </c>
      <c r="B7" s="12" t="s">
        <v>49</v>
      </c>
      <c r="C7" s="21" t="str">
        <f aca="false">INDEX(Raw_Material_Data!$B$5:$B$16,MATCH($B7,Raw_Material_Data!$A$5:$A$16,0))</f>
        <v>Carbon Black Pigment</v>
      </c>
      <c r="D7" s="22" t="n">
        <f aca="false">INDEX(Raw_Material_Data!$E$5:$E$16,MATCH($B7,Raw_Material_Data!$A$5:$A$16,0))</f>
        <v>22</v>
      </c>
      <c r="E7" s="22" t="n">
        <f aca="false">INDEX(Raw_Material_Data!$F$5:$F$16,MATCH($B7,Raw_Material_Data!$A$5:$A$16,0))</f>
        <v>7</v>
      </c>
      <c r="F7" s="22" t="n">
        <f aca="false">INDEX(Raw_Material_Data!$G$5:$G$16,MATCH($B7,Raw_Material_Data!$A$5:$A$16,0))</f>
        <v>15</v>
      </c>
      <c r="G7" s="22" t="n">
        <f aca="false">INDEX(Raw_Material_Data!$H$5:$H$16,MATCH($B7,Raw_Material_Data!$A$5:$A$16,0))</f>
        <v>3</v>
      </c>
      <c r="H7" s="22" t="n">
        <f aca="false">INDEX(Raw_Material_Data!$J$5:$J$16,MATCH($B7,Raw_Material_Data!$A$5:$A$16,0))</f>
        <v>460</v>
      </c>
      <c r="I7" s="26" t="n">
        <f aca="false">$N$5*SQRT(F7*E7^2+D7^2*G7^2)</f>
        <v>117.362352246364</v>
      </c>
      <c r="J7" s="26" t="n">
        <f aca="false">D7*F7+I7</f>
        <v>447.362352246365</v>
      </c>
      <c r="K7" s="21" t="str">
        <f aca="false">IF(H7&lt;J7,"REORDER NOW","OK")</f>
        <v>OK</v>
      </c>
    </row>
    <row r="8" customFormat="false" ht="15" hidden="false" customHeight="true" outlineLevel="0" collapsed="false">
      <c r="A8" s="23" t="n">
        <v>4</v>
      </c>
      <c r="B8" s="16" t="s">
        <v>52</v>
      </c>
      <c r="C8" s="23" t="str">
        <f aca="false">INDEX(Raw_Material_Data!$B$5:$B$16,MATCH($B8,Raw_Material_Data!$A$5:$A$16,0))</f>
        <v>Rosin Modified Resin</v>
      </c>
      <c r="D8" s="24" t="n">
        <f aca="false">INDEX(Raw_Material_Data!$E$5:$E$16,MATCH($B8,Raw_Material_Data!$A$5:$A$16,0))</f>
        <v>60</v>
      </c>
      <c r="E8" s="24" t="n">
        <f aca="false">INDEX(Raw_Material_Data!$F$5:$F$16,MATCH($B8,Raw_Material_Data!$A$5:$A$16,0))</f>
        <v>15</v>
      </c>
      <c r="F8" s="24" t="n">
        <f aca="false">INDEX(Raw_Material_Data!$G$5:$G$16,MATCH($B8,Raw_Material_Data!$A$5:$A$16,0))</f>
        <v>10</v>
      </c>
      <c r="G8" s="24" t="n">
        <f aca="false">INDEX(Raw_Material_Data!$H$5:$H$16,MATCH($B8,Raw_Material_Data!$A$5:$A$16,0))</f>
        <v>2</v>
      </c>
      <c r="H8" s="24" t="n">
        <f aca="false">INDEX(Raw_Material_Data!$J$5:$J$16,MATCH($B8,Raw_Material_Data!$A$5:$A$16,0))</f>
        <v>850</v>
      </c>
      <c r="I8" s="28" t="n">
        <f aca="false">$N$5*SQRT(F8*E8^2+D8^2*G8^2)</f>
        <v>212.24348873567</v>
      </c>
      <c r="J8" s="28" t="n">
        <f aca="false">D8*F8+I8</f>
        <v>812.24348873567</v>
      </c>
      <c r="K8" s="23" t="str">
        <f aca="false">IF(H8&lt;J8,"REORDER NOW","OK")</f>
        <v>OK</v>
      </c>
    </row>
    <row r="9" customFormat="false" ht="15" hidden="false" customHeight="true" outlineLevel="0" collapsed="false">
      <c r="A9" s="21" t="n">
        <v>5</v>
      </c>
      <c r="B9" s="12" t="s">
        <v>56</v>
      </c>
      <c r="C9" s="21" t="str">
        <f aca="false">INDEX(Raw_Material_Data!$B$5:$B$16,MATCH($B9,Raw_Material_Data!$A$5:$A$16,0))</f>
        <v>Nitrocellulose Resin</v>
      </c>
      <c r="D9" s="22" t="n">
        <f aca="false">INDEX(Raw_Material_Data!$E$5:$E$16,MATCH($B9,Raw_Material_Data!$A$5:$A$16,0))</f>
        <v>25</v>
      </c>
      <c r="E9" s="22" t="n">
        <f aca="false">INDEX(Raw_Material_Data!$F$5:$F$16,MATCH($B9,Raw_Material_Data!$A$5:$A$16,0))</f>
        <v>8</v>
      </c>
      <c r="F9" s="22" t="n">
        <f aca="false">INDEX(Raw_Material_Data!$G$5:$G$16,MATCH($B9,Raw_Material_Data!$A$5:$A$16,0))</f>
        <v>20</v>
      </c>
      <c r="G9" s="22" t="n">
        <f aca="false">INDEX(Raw_Material_Data!$H$5:$H$16,MATCH($B9,Raw_Material_Data!$A$5:$A$16,0))</f>
        <v>5</v>
      </c>
      <c r="H9" s="22" t="n">
        <f aca="false">INDEX(Raw_Material_Data!$J$5:$J$16,MATCH($B9,Raw_Material_Data!$A$5:$A$16,0))</f>
        <v>800</v>
      </c>
      <c r="I9" s="26" t="n">
        <f aca="false">$N$5*SQRT(F9*E9^2+D9^2*G9^2)</f>
        <v>213.862600964925</v>
      </c>
      <c r="J9" s="26" t="n">
        <f aca="false">D9*F9+I9</f>
        <v>713.862600964925</v>
      </c>
      <c r="K9" s="21" t="str">
        <f aca="false">IF(H9&lt;J9,"REORDER NOW","OK")</f>
        <v>OK</v>
      </c>
    </row>
    <row r="10" customFormat="false" ht="15" hidden="false" customHeight="true" outlineLevel="0" collapsed="false">
      <c r="A10" s="23" t="n">
        <v>6</v>
      </c>
      <c r="B10" s="16" t="s">
        <v>59</v>
      </c>
      <c r="C10" s="23" t="str">
        <f aca="false">INDEX(Raw_Material_Data!$B$5:$B$16,MATCH($B10,Raw_Material_Data!$A$5:$A$16,0))</f>
        <v>Acrylic Resin</v>
      </c>
      <c r="D10" s="24" t="n">
        <f aca="false">INDEX(Raw_Material_Data!$E$5:$E$16,MATCH($B10,Raw_Material_Data!$A$5:$A$16,0))</f>
        <v>30</v>
      </c>
      <c r="E10" s="24" t="n">
        <f aca="false">INDEX(Raw_Material_Data!$F$5:$F$16,MATCH($B10,Raw_Material_Data!$A$5:$A$16,0))</f>
        <v>9</v>
      </c>
      <c r="F10" s="24" t="n">
        <f aca="false">INDEX(Raw_Material_Data!$G$5:$G$16,MATCH($B10,Raw_Material_Data!$A$5:$A$16,0))</f>
        <v>12</v>
      </c>
      <c r="G10" s="24" t="n">
        <f aca="false">INDEX(Raw_Material_Data!$H$5:$H$16,MATCH($B10,Raw_Material_Data!$A$5:$A$16,0))</f>
        <v>3</v>
      </c>
      <c r="H10" s="24" t="n">
        <f aca="false">INDEX(Raw_Material_Data!$J$5:$J$16,MATCH($B10,Raw_Material_Data!$A$5:$A$16,0))</f>
        <v>600</v>
      </c>
      <c r="I10" s="28" t="n">
        <f aca="false">$N$5*SQRT(F10*E10^2+D10^2*G10^2)</f>
        <v>156.667451040583</v>
      </c>
      <c r="J10" s="28" t="n">
        <f aca="false">D10*F10+I10</f>
        <v>516.667451040583</v>
      </c>
      <c r="K10" s="23" t="str">
        <f aca="false">IF(H10&lt;J10,"REORDER NOW","OK")</f>
        <v>OK</v>
      </c>
    </row>
    <row r="11" customFormat="false" ht="15" hidden="false" customHeight="true" outlineLevel="0" collapsed="false">
      <c r="A11" s="21" t="n">
        <v>7</v>
      </c>
      <c r="B11" s="12" t="s">
        <v>62</v>
      </c>
      <c r="C11" s="21" t="str">
        <f aca="false">INDEX(Raw_Material_Data!$B$5:$B$16,MATCH($B11,Raw_Material_Data!$A$5:$A$16,0))</f>
        <v>Ethyl Acetate Solvent</v>
      </c>
      <c r="D11" s="22" t="n">
        <f aca="false">INDEX(Raw_Material_Data!$E$5:$E$16,MATCH($B11,Raw_Material_Data!$A$5:$A$16,0))</f>
        <v>80</v>
      </c>
      <c r="E11" s="22" t="n">
        <f aca="false">INDEX(Raw_Material_Data!$F$5:$F$16,MATCH($B11,Raw_Material_Data!$A$5:$A$16,0))</f>
        <v>20</v>
      </c>
      <c r="F11" s="22" t="n">
        <f aca="false">INDEX(Raw_Material_Data!$G$5:$G$16,MATCH($B11,Raw_Material_Data!$A$5:$A$16,0))</f>
        <v>7</v>
      </c>
      <c r="G11" s="22" t="n">
        <f aca="false">INDEX(Raw_Material_Data!$H$5:$H$16,MATCH($B11,Raw_Material_Data!$A$5:$A$16,0))</f>
        <v>1</v>
      </c>
      <c r="H11" s="22" t="n">
        <f aca="false">INDEX(Raw_Material_Data!$J$5:$J$16,MATCH($B11,Raw_Material_Data!$A$5:$A$16,0))</f>
        <v>850</v>
      </c>
      <c r="I11" s="26" t="n">
        <f aca="false">$N$5*SQRT(F11*E11^2+D11^2*G11^2)</f>
        <v>157.768817507383</v>
      </c>
      <c r="J11" s="26" t="n">
        <f aca="false">D11*F11+I11</f>
        <v>717.768817507383</v>
      </c>
      <c r="K11" s="21" t="str">
        <f aca="false">IF(H11&lt;J11,"REORDER NOW","OK")</f>
        <v>OK</v>
      </c>
    </row>
    <row r="12" customFormat="false" ht="15" hidden="false" customHeight="true" outlineLevel="0" collapsed="false">
      <c r="A12" s="23" t="n">
        <v>8</v>
      </c>
      <c r="B12" s="16" t="s">
        <v>65</v>
      </c>
      <c r="C12" s="23" t="str">
        <f aca="false">INDEX(Raw_Material_Data!$B$5:$B$16,MATCH($B12,Raw_Material_Data!$A$5:$A$16,0))</f>
        <v>IPA Solvent</v>
      </c>
      <c r="D12" s="24" t="n">
        <f aca="false">INDEX(Raw_Material_Data!$E$5:$E$16,MATCH($B12,Raw_Material_Data!$A$5:$A$16,0))</f>
        <v>45</v>
      </c>
      <c r="E12" s="24" t="n">
        <f aca="false">INDEX(Raw_Material_Data!$F$5:$F$16,MATCH($B12,Raw_Material_Data!$A$5:$A$16,0))</f>
        <v>12</v>
      </c>
      <c r="F12" s="24" t="n">
        <f aca="false">INDEX(Raw_Material_Data!$G$5:$G$16,MATCH($B12,Raw_Material_Data!$A$5:$A$16,0))</f>
        <v>9</v>
      </c>
      <c r="G12" s="24" t="n">
        <f aca="false">INDEX(Raw_Material_Data!$H$5:$H$16,MATCH($B12,Raw_Material_Data!$A$5:$A$16,0))</f>
        <v>2</v>
      </c>
      <c r="H12" s="24" t="n">
        <f aca="false">INDEX(Raw_Material_Data!$J$5:$J$16,MATCH($B12,Raw_Material_Data!$A$5:$A$16,0))</f>
        <v>580</v>
      </c>
      <c r="I12" s="28" t="n">
        <f aca="false">$N$5*SQRT(F12*E12^2+D12^2*G12^2)</f>
        <v>159.440541565439</v>
      </c>
      <c r="J12" s="28" t="n">
        <f aca="false">D12*F12+I12</f>
        <v>564.440541565439</v>
      </c>
      <c r="K12" s="23" t="str">
        <f aca="false">IF(H12&lt;J12,"REORDER NOW","OK")</f>
        <v>OK</v>
      </c>
    </row>
    <row r="13" customFormat="false" ht="15" hidden="false" customHeight="true" outlineLevel="0" collapsed="false">
      <c r="A13" s="21" t="n">
        <v>9</v>
      </c>
      <c r="B13" s="12" t="s">
        <v>68</v>
      </c>
      <c r="C13" s="21" t="str">
        <f aca="false">INDEX(Raw_Material_Data!$B$5:$B$16,MATCH($B13,Raw_Material_Data!$A$5:$A$16,0))</f>
        <v>Wax Compound Additive</v>
      </c>
      <c r="D13" s="22" t="n">
        <f aca="false">INDEX(Raw_Material_Data!$E$5:$E$16,MATCH($B13,Raw_Material_Data!$A$5:$A$16,0))</f>
        <v>8</v>
      </c>
      <c r="E13" s="22" t="n">
        <f aca="false">INDEX(Raw_Material_Data!$F$5:$F$16,MATCH($B13,Raw_Material_Data!$A$5:$A$16,0))</f>
        <v>3</v>
      </c>
      <c r="F13" s="22" t="n">
        <f aca="false">INDEX(Raw_Material_Data!$G$5:$G$16,MATCH($B13,Raw_Material_Data!$A$5:$A$16,0))</f>
        <v>14</v>
      </c>
      <c r="G13" s="22" t="n">
        <f aca="false">INDEX(Raw_Material_Data!$H$5:$H$16,MATCH($B13,Raw_Material_Data!$A$5:$A$16,0))</f>
        <v>3</v>
      </c>
      <c r="H13" s="22" t="n">
        <f aca="false">INDEX(Raw_Material_Data!$J$5:$J$16,MATCH($B13,Raw_Material_Data!$A$5:$A$16,0))</f>
        <v>200</v>
      </c>
      <c r="I13" s="26" t="n">
        <f aca="false">$N$5*SQRT(F13*E13^2+D13^2*G13^2)</f>
        <v>43.5808616800423</v>
      </c>
      <c r="J13" s="26" t="n">
        <f aca="false">D13*F13+I13</f>
        <v>155.580861680042</v>
      </c>
      <c r="K13" s="21" t="str">
        <f aca="false">IF(H13&lt;J13,"REORDER NOW","OK")</f>
        <v>OK</v>
      </c>
    </row>
    <row r="14" customFormat="false" ht="15" hidden="false" customHeight="true" outlineLevel="0" collapsed="false">
      <c r="A14" s="23" t="n">
        <v>10</v>
      </c>
      <c r="B14" s="16" t="s">
        <v>72</v>
      </c>
      <c r="C14" s="23" t="str">
        <f aca="false">INDEX(Raw_Material_Data!$B$5:$B$16,MATCH($B14,Raw_Material_Data!$A$5:$A$16,0))</f>
        <v>Defoamer Additive</v>
      </c>
      <c r="D14" s="24" t="n">
        <f aca="false">INDEX(Raw_Material_Data!$E$5:$E$16,MATCH($B14,Raw_Material_Data!$A$5:$A$16,0))</f>
        <v>5</v>
      </c>
      <c r="E14" s="24" t="n">
        <f aca="false">INDEX(Raw_Material_Data!$F$5:$F$16,MATCH($B14,Raw_Material_Data!$A$5:$A$16,0))</f>
        <v>2</v>
      </c>
      <c r="F14" s="24" t="n">
        <f aca="false">INDEX(Raw_Material_Data!$G$5:$G$16,MATCH($B14,Raw_Material_Data!$A$5:$A$16,0))</f>
        <v>10</v>
      </c>
      <c r="G14" s="24" t="n">
        <f aca="false">INDEX(Raw_Material_Data!$H$5:$H$16,MATCH($B14,Raw_Material_Data!$A$5:$A$16,0))</f>
        <v>2</v>
      </c>
      <c r="H14" s="24" t="n">
        <f aca="false">INDEX(Raw_Material_Data!$J$5:$J$16,MATCH($B14,Raw_Material_Data!$A$5:$A$16,0))</f>
        <v>100</v>
      </c>
      <c r="I14" s="28" t="n">
        <f aca="false">$N$5*SQRT(F14*E14^2+D14^2*G14^2)</f>
        <v>19.4621705771314</v>
      </c>
      <c r="J14" s="28" t="n">
        <f aca="false">D14*F14+I14</f>
        <v>69.4621705771314</v>
      </c>
      <c r="K14" s="23" t="str">
        <f aca="false">IF(H14&lt;J14,"REORDER NOW","OK")</f>
        <v>OK</v>
      </c>
    </row>
    <row r="15" customFormat="false" ht="15" hidden="false" customHeight="true" outlineLevel="0" collapsed="false">
      <c r="A15" s="21" t="n">
        <v>11</v>
      </c>
      <c r="B15" s="12" t="s">
        <v>75</v>
      </c>
      <c r="C15" s="21" t="str">
        <f aca="false">INDEX(Raw_Material_Data!$B$5:$B$16,MATCH($B15,Raw_Material_Data!$A$5:$A$16,0))</f>
        <v>Aluminium Paste (Metallic Silver)</v>
      </c>
      <c r="D15" s="22" t="n">
        <f aca="false">INDEX(Raw_Material_Data!$E$5:$E$16,MATCH($B15,Raw_Material_Data!$A$5:$A$16,0))</f>
        <v>10</v>
      </c>
      <c r="E15" s="22" t="n">
        <f aca="false">INDEX(Raw_Material_Data!$F$5:$F$16,MATCH($B15,Raw_Material_Data!$A$5:$A$16,0))</f>
        <v>5</v>
      </c>
      <c r="F15" s="22" t="n">
        <f aca="false">INDEX(Raw_Material_Data!$G$5:$G$16,MATCH($B15,Raw_Material_Data!$A$5:$A$16,0))</f>
        <v>30</v>
      </c>
      <c r="G15" s="22" t="n">
        <f aca="false">INDEX(Raw_Material_Data!$H$5:$H$16,MATCH($B15,Raw_Material_Data!$A$5:$A$16,0))</f>
        <v>7</v>
      </c>
      <c r="H15" s="22" t="n">
        <f aca="false">INDEX(Raw_Material_Data!$J$5:$J$16,MATCH($B15,Raw_Material_Data!$A$5:$A$16,0))</f>
        <v>200</v>
      </c>
      <c r="I15" s="26" t="n">
        <f aca="false">$N$5*SQRT(F15*E15^2+D15^2*G15^2)</f>
        <v>123.637860365015</v>
      </c>
      <c r="J15" s="26" t="n">
        <f aca="false">D15*F15+I15</f>
        <v>423.637860365016</v>
      </c>
      <c r="K15" s="21" t="str">
        <f aca="false">IF(H15&lt;J15,"REORDER NOW","OK")</f>
        <v>REORDER NOW</v>
      </c>
    </row>
    <row r="16" customFormat="false" ht="15" hidden="false" customHeight="true" outlineLevel="0" collapsed="false">
      <c r="A16" s="23" t="n">
        <v>12</v>
      </c>
      <c r="B16" s="16" t="s">
        <v>78</v>
      </c>
      <c r="C16" s="23" t="str">
        <f aca="false">INDEX(Raw_Material_Data!$B$5:$B$16,MATCH($B16,Raw_Material_Data!$A$5:$A$16,0))</f>
        <v>Yellow/Red Organic Pigment</v>
      </c>
      <c r="D16" s="24" t="n">
        <f aca="false">INDEX(Raw_Material_Data!$E$5:$E$16,MATCH($B16,Raw_Material_Data!$A$5:$A$16,0))</f>
        <v>15</v>
      </c>
      <c r="E16" s="24" t="n">
        <f aca="false">INDEX(Raw_Material_Data!$F$5:$F$16,MATCH($B16,Raw_Material_Data!$A$5:$A$16,0))</f>
        <v>5</v>
      </c>
      <c r="F16" s="24" t="n">
        <f aca="false">INDEX(Raw_Material_Data!$G$5:$G$16,MATCH($B16,Raw_Material_Data!$A$5:$A$16,0))</f>
        <v>16</v>
      </c>
      <c r="G16" s="24" t="n">
        <f aca="false">INDEX(Raw_Material_Data!$H$5:$H$16,MATCH($B16,Raw_Material_Data!$A$5:$A$16,0))</f>
        <v>3</v>
      </c>
      <c r="H16" s="24" t="n">
        <f aca="false">INDEX(Raw_Material_Data!$J$5:$J$16,MATCH($B16,Raw_Material_Data!$A$5:$A$16,0))</f>
        <v>340</v>
      </c>
      <c r="I16" s="28" t="n">
        <f aca="false">$N$5*SQRT(F16*E16^2+D16^2*G16^2)</f>
        <v>80.9996473830681</v>
      </c>
      <c r="J16" s="28" t="n">
        <f aca="false">D16*F16+I16</f>
        <v>320.999647383068</v>
      </c>
      <c r="K16" s="23" t="str">
        <f aca="false">IF(H16&lt;J16,"REORDER NOW","OK")</f>
        <v>OK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6"/>
    <col collapsed="false" customWidth="true" hidden="false" outlineLevel="0" max="5" min="5" style="1" width="8"/>
    <col collapsed="false" customWidth="true" hidden="false" outlineLevel="0" max="8" min="6" style="1" width="7"/>
    <col collapsed="false" customWidth="true" hidden="false" outlineLevel="0" max="10" min="9" style="1" width="8"/>
    <col collapsed="false" customWidth="true" hidden="false" outlineLevel="0" max="11" min="11" style="1" width="6"/>
    <col collapsed="false" customWidth="true" hidden="false" outlineLevel="0" max="13" min="12" style="1" width="8"/>
    <col collapsed="false" customWidth="true" hidden="false" outlineLevel="0" max="14" min="14" style="1" width="14"/>
    <col collapsed="false" customWidth="true" hidden="false" outlineLevel="0" max="15" min="15" style="1" width="8"/>
    <col collapsed="false" customWidth="true" hidden="false" outlineLevel="0" max="17" min="16" style="1" width="10"/>
    <col collapsed="false" customWidth="true" hidden="false" outlineLevel="0" max="19" min="19" style="1" width="18"/>
    <col collapsed="false" customWidth="true" hidden="false" outlineLevel="0" max="20" min="20" style="1" width="9"/>
  </cols>
  <sheetData>
    <row r="1" customFormat="false" ht="27.75" hidden="false" customHeight="tru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8" hidden="false" customHeight="true" outlineLevel="0" collapsed="false">
      <c r="A2" s="3" t="s">
        <v>102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31.5" hidden="false" customHeight="true" outlineLevel="0" collapsed="false">
      <c r="A4" s="6" t="s">
        <v>90</v>
      </c>
      <c r="B4" s="6" t="s">
        <v>31</v>
      </c>
      <c r="C4" s="6" t="s">
        <v>32</v>
      </c>
      <c r="D4" s="6" t="s">
        <v>87</v>
      </c>
      <c r="E4" s="6" t="s">
        <v>103</v>
      </c>
      <c r="F4" s="6" t="s">
        <v>104</v>
      </c>
      <c r="G4" s="6" t="s">
        <v>105</v>
      </c>
      <c r="H4" s="6" t="s">
        <v>106</v>
      </c>
      <c r="I4" s="6" t="s">
        <v>107</v>
      </c>
      <c r="J4" s="6" t="s">
        <v>108</v>
      </c>
      <c r="K4" s="6" t="s">
        <v>41</v>
      </c>
      <c r="L4" s="6" t="s">
        <v>109</v>
      </c>
      <c r="M4" s="6" t="s">
        <v>98</v>
      </c>
      <c r="N4" s="6" t="s">
        <v>93</v>
      </c>
      <c r="O4" s="6" t="s">
        <v>110</v>
      </c>
      <c r="P4" s="6" t="s">
        <v>111</v>
      </c>
      <c r="Q4" s="6" t="s">
        <v>112</v>
      </c>
      <c r="S4" s="19" t="s">
        <v>113</v>
      </c>
      <c r="T4" s="20" t="n">
        <v>1500</v>
      </c>
    </row>
    <row r="5" customFormat="false" ht="15" hidden="false" customHeight="true" outlineLevel="0" collapsed="false">
      <c r="A5" s="21" t="n">
        <v>1</v>
      </c>
      <c r="B5" s="12" t="s">
        <v>42</v>
      </c>
      <c r="C5" s="21" t="str">
        <f aca="false">INDEX(Raw_Material_Data!$B$5:$B$16,MATCH($B5,Raw_Material_Data!$A$5:$A$16,0))</f>
        <v>Phthalocyanine Blue Pigment</v>
      </c>
      <c r="D5" s="21" t="str">
        <f aca="false">INDEX(ABC_Classification!$G$5:$G$16,MATCH($B5,ABC_Classification!$B$5:$B$16,0))</f>
        <v>A</v>
      </c>
      <c r="E5" s="22" t="n">
        <f aca="false">INDEX(Raw_Material_Data!$E$5:$E$16,MATCH($B5,Raw_Material_Data!$A$5:$A$16,0))</f>
        <v>18</v>
      </c>
      <c r="F5" s="22" t="n">
        <f aca="false">INDEX(Raw_Material_Data!$F$5:$F$16,MATCH($B5,Raw_Material_Data!$A$5:$A$16,0))</f>
        <v>6</v>
      </c>
      <c r="G5" s="22" t="n">
        <f aca="false">INDEX(Raw_Material_Data!$G$5:$G$16,MATCH($B5,Raw_Material_Data!$A$5:$A$16,0))</f>
        <v>21</v>
      </c>
      <c r="H5" s="22" t="n">
        <f aca="false">INDEX(Raw_Material_Data!$H$5:$H$16,MATCH($B5,Raw_Material_Data!$A$5:$A$16,0))</f>
        <v>4</v>
      </c>
      <c r="I5" s="22" t="n">
        <f aca="false">INDEX(Raw_Material_Data!$I$5:$I$16,MATCH($B5,Raw_Material_Data!$A$5:$A$16,0))</f>
        <v>2200</v>
      </c>
      <c r="J5" s="22" t="n">
        <f aca="false">INDEX(Raw_Material_Data!$J$5:$J$16,MATCH($B5,Raw_Material_Data!$A$5:$A$16,0))</f>
        <v>350</v>
      </c>
      <c r="K5" s="22" t="n">
        <f aca="false">INDEX(Raw_Material_Data!$K$5:$K$16,MATCH($B5,Raw_Material_Data!$A$5:$A$16,0))</f>
        <v>100</v>
      </c>
      <c r="L5" s="26" t="n">
        <f aca="false">IF($D5="A",$T$6,IF($D5="B",$T$7,$T$8))*SQRT(G5*F5^2+E5^2*H5^2)</f>
        <v>179.294877005627</v>
      </c>
      <c r="M5" s="26" t="n">
        <f aca="false">E5*G5+L5</f>
        <v>557.294877005627</v>
      </c>
      <c r="N5" s="21" t="str">
        <f aca="false">IF(J5&lt;M5,"REORDER NOW","OK")</f>
        <v>REORDER NOW</v>
      </c>
      <c r="O5" s="22" t="n">
        <f aca="false">SQRT(2*E5*365*$T$4/($T$5*I5))</f>
        <v>211.649366985717</v>
      </c>
      <c r="P5" s="22" t="n">
        <f aca="false">IF(N5="REORDER NOW",ROUNDUP(MAX(O5,K5)/K5,0)*K5,0)</f>
        <v>300</v>
      </c>
      <c r="Q5" s="22" t="n">
        <f aca="false">P5*I5</f>
        <v>660000</v>
      </c>
      <c r="S5" s="19" t="s">
        <v>114</v>
      </c>
      <c r="T5" s="25" t="n">
        <v>0.2</v>
      </c>
    </row>
    <row r="6" customFormat="false" ht="15" hidden="false" customHeight="true" outlineLevel="0" collapsed="false">
      <c r="A6" s="23" t="n">
        <v>2</v>
      </c>
      <c r="B6" s="16" t="s">
        <v>46</v>
      </c>
      <c r="C6" s="23" t="str">
        <f aca="false">INDEX(Raw_Material_Data!$B$5:$B$16,MATCH($B6,Raw_Material_Data!$A$5:$A$16,0))</f>
        <v>Titanium Dioxide White Pigment</v>
      </c>
      <c r="D6" s="23" t="str">
        <f aca="false">INDEX(ABC_Classification!$G$5:$G$16,MATCH($B6,ABC_Classification!$B$5:$B$16,0))</f>
        <v>B</v>
      </c>
      <c r="E6" s="24" t="n">
        <f aca="false">INDEX(Raw_Material_Data!$E$5:$E$16,MATCH($B6,Raw_Material_Data!$A$5:$A$16,0))</f>
        <v>35</v>
      </c>
      <c r="F6" s="24" t="n">
        <f aca="false">INDEX(Raw_Material_Data!$F$5:$F$16,MATCH($B6,Raw_Material_Data!$A$5:$A$16,0))</f>
        <v>10</v>
      </c>
      <c r="G6" s="24" t="n">
        <f aca="false">INDEX(Raw_Material_Data!$G$5:$G$16,MATCH($B6,Raw_Material_Data!$A$5:$A$16,0))</f>
        <v>18</v>
      </c>
      <c r="H6" s="24" t="n">
        <f aca="false">INDEX(Raw_Material_Data!$H$5:$H$16,MATCH($B6,Raw_Material_Data!$A$5:$A$16,0))</f>
        <v>3</v>
      </c>
      <c r="I6" s="24" t="n">
        <f aca="false">INDEX(Raw_Material_Data!$I$5:$I$16,MATCH($B6,Raw_Material_Data!$A$5:$A$16,0))</f>
        <v>180</v>
      </c>
      <c r="J6" s="24" t="n">
        <f aca="false">INDEX(Raw_Material_Data!$J$5:$J$16,MATCH($B6,Raw_Material_Data!$A$5:$A$16,0))</f>
        <v>900</v>
      </c>
      <c r="K6" s="24" t="n">
        <f aca="false">INDEX(Raw_Material_Data!$K$5:$K$16,MATCH($B6,Raw_Material_Data!$A$5:$A$16,0))</f>
        <v>250</v>
      </c>
      <c r="L6" s="28" t="n">
        <f aca="false">IF($D6="A",$T$6,IF($D6="B",$T$7,$T$8))*SQRT(G6*F6^2+E6^2*H6^2)</f>
        <v>186.275588306073</v>
      </c>
      <c r="M6" s="28" t="n">
        <f aca="false">E6*G6+L6</f>
        <v>816.275588306073</v>
      </c>
      <c r="N6" s="23" t="str">
        <f aca="false">IF(J6&lt;M6,"REORDER NOW","OK")</f>
        <v>OK</v>
      </c>
      <c r="O6" s="24" t="n">
        <f aca="false">SQRT(2*E6*365*$T$4/($T$5*I6))</f>
        <v>1031.78647661875</v>
      </c>
      <c r="P6" s="24" t="n">
        <f aca="false">IF(N6="REORDER NOW",ROUNDUP(MAX(O6,K6)/K6,0)*K6,0)</f>
        <v>0</v>
      </c>
      <c r="Q6" s="24" t="n">
        <f aca="false">P6*I6</f>
        <v>0</v>
      </c>
      <c r="S6" s="19" t="s">
        <v>115</v>
      </c>
      <c r="T6" s="27" t="n">
        <f aca="false">NORMSINV(0.99)</f>
        <v>2.32634787404084</v>
      </c>
    </row>
    <row r="7" customFormat="false" ht="15" hidden="false" customHeight="true" outlineLevel="0" collapsed="false">
      <c r="A7" s="21" t="n">
        <v>3</v>
      </c>
      <c r="B7" s="12" t="s">
        <v>49</v>
      </c>
      <c r="C7" s="21" t="str">
        <f aca="false">INDEX(Raw_Material_Data!$B$5:$B$16,MATCH($B7,Raw_Material_Data!$A$5:$A$16,0))</f>
        <v>Carbon Black Pigment</v>
      </c>
      <c r="D7" s="21" t="str">
        <f aca="false">INDEX(ABC_Classification!$G$5:$G$16,MATCH($B7,ABC_Classification!$B$5:$B$16,0))</f>
        <v>C</v>
      </c>
      <c r="E7" s="22" t="n">
        <f aca="false">INDEX(Raw_Material_Data!$E$5:$E$16,MATCH($B7,Raw_Material_Data!$A$5:$A$16,0))</f>
        <v>22</v>
      </c>
      <c r="F7" s="22" t="n">
        <f aca="false">INDEX(Raw_Material_Data!$F$5:$F$16,MATCH($B7,Raw_Material_Data!$A$5:$A$16,0))</f>
        <v>7</v>
      </c>
      <c r="G7" s="22" t="n">
        <f aca="false">INDEX(Raw_Material_Data!$G$5:$G$16,MATCH($B7,Raw_Material_Data!$A$5:$A$16,0))</f>
        <v>15</v>
      </c>
      <c r="H7" s="22" t="n">
        <f aca="false">INDEX(Raw_Material_Data!$H$5:$H$16,MATCH($B7,Raw_Material_Data!$A$5:$A$16,0))</f>
        <v>3</v>
      </c>
      <c r="I7" s="22" t="n">
        <f aca="false">INDEX(Raw_Material_Data!$I$5:$I$16,MATCH($B7,Raw_Material_Data!$A$5:$A$16,0))</f>
        <v>150</v>
      </c>
      <c r="J7" s="22" t="n">
        <f aca="false">INDEX(Raw_Material_Data!$J$5:$J$16,MATCH($B7,Raw_Material_Data!$A$5:$A$16,0))</f>
        <v>460</v>
      </c>
      <c r="K7" s="22" t="n">
        <f aca="false">INDEX(Raw_Material_Data!$K$5:$K$16,MATCH($B7,Raw_Material_Data!$A$5:$A$16,0))</f>
        <v>200</v>
      </c>
      <c r="L7" s="26" t="n">
        <f aca="false">IF($D7="A",$T$6,IF($D7="B",$T$7,$T$8))*SQRT(G7*F7^2+E7^2*H7^2)</f>
        <v>91.4402982690221</v>
      </c>
      <c r="M7" s="26" t="n">
        <f aca="false">E7*G7+L7</f>
        <v>421.440298269022</v>
      </c>
      <c r="N7" s="21" t="str">
        <f aca="false">IF(J7&lt;M7,"REORDER NOW","OK")</f>
        <v>OK</v>
      </c>
      <c r="O7" s="22" t="n">
        <f aca="false">SQRT(2*E7*365*$T$4/($T$5*I7))</f>
        <v>896.102672688794</v>
      </c>
      <c r="P7" s="22" t="n">
        <f aca="false">IF(N7="REORDER NOW",ROUNDUP(MAX(O7,K7)/K7,0)*K7,0)</f>
        <v>0</v>
      </c>
      <c r="Q7" s="22" t="n">
        <f aca="false">P7*I7</f>
        <v>0</v>
      </c>
      <c r="S7" s="19" t="s">
        <v>116</v>
      </c>
      <c r="T7" s="27" t="n">
        <f aca="false">NORMSINV(0.95)</f>
        <v>1.64485362695147</v>
      </c>
    </row>
    <row r="8" customFormat="false" ht="15" hidden="false" customHeight="true" outlineLevel="0" collapsed="false">
      <c r="A8" s="23" t="n">
        <v>4</v>
      </c>
      <c r="B8" s="16" t="s">
        <v>52</v>
      </c>
      <c r="C8" s="23" t="str">
        <f aca="false">INDEX(Raw_Material_Data!$B$5:$B$16,MATCH($B8,Raw_Material_Data!$A$5:$A$16,0))</f>
        <v>Rosin Modified Resin</v>
      </c>
      <c r="D8" s="23" t="str">
        <f aca="false">INDEX(ABC_Classification!$G$5:$G$16,MATCH($B8,ABC_Classification!$B$5:$B$16,0))</f>
        <v>A</v>
      </c>
      <c r="E8" s="24" t="n">
        <f aca="false">INDEX(Raw_Material_Data!$E$5:$E$16,MATCH($B8,Raw_Material_Data!$A$5:$A$16,0))</f>
        <v>60</v>
      </c>
      <c r="F8" s="24" t="n">
        <f aca="false">INDEX(Raw_Material_Data!$F$5:$F$16,MATCH($B8,Raw_Material_Data!$A$5:$A$16,0))</f>
        <v>15</v>
      </c>
      <c r="G8" s="24" t="n">
        <f aca="false">INDEX(Raw_Material_Data!$G$5:$G$16,MATCH($B8,Raw_Material_Data!$A$5:$A$16,0))</f>
        <v>10</v>
      </c>
      <c r="H8" s="24" t="n">
        <f aca="false">INDEX(Raw_Material_Data!$H$5:$H$16,MATCH($B8,Raw_Material_Data!$A$5:$A$16,0))</f>
        <v>2</v>
      </c>
      <c r="I8" s="24" t="n">
        <f aca="false">INDEX(Raw_Material_Data!$I$5:$I$16,MATCH($B8,Raw_Material_Data!$A$5:$A$16,0))</f>
        <v>140</v>
      </c>
      <c r="J8" s="24" t="n">
        <f aca="false">INDEX(Raw_Material_Data!$J$5:$J$16,MATCH($B8,Raw_Material_Data!$A$5:$A$16,0))</f>
        <v>850</v>
      </c>
      <c r="K8" s="24" t="n">
        <f aca="false">INDEX(Raw_Material_Data!$K$5:$K$16,MATCH($B8,Raw_Material_Data!$A$5:$A$16,0))</f>
        <v>500</v>
      </c>
      <c r="L8" s="28" t="n">
        <f aca="false">IF($D8="A",$T$6,IF($D8="B",$T$7,$T$8))*SQRT(G8*F8^2+E8^2*H8^2)</f>
        <v>300.180016451886</v>
      </c>
      <c r="M8" s="28" t="n">
        <f aca="false">E8*G8+L8</f>
        <v>900.180016451886</v>
      </c>
      <c r="N8" s="23" t="str">
        <f aca="false">IF(J8&lt;M8,"REORDER NOW","OK")</f>
        <v>REORDER NOW</v>
      </c>
      <c r="O8" s="24" t="n">
        <f aca="false">SQRT(2*E8*365*$T$4/($T$5*I8))</f>
        <v>1531.80565719956</v>
      </c>
      <c r="P8" s="24" t="n">
        <f aca="false">IF(N8="REORDER NOW",ROUNDUP(MAX(O8,K8)/K8,0)*K8,0)</f>
        <v>2000</v>
      </c>
      <c r="Q8" s="24" t="n">
        <f aca="false">P8*I8</f>
        <v>280000</v>
      </c>
      <c r="S8" s="19" t="s">
        <v>117</v>
      </c>
      <c r="T8" s="27" t="n">
        <f aca="false">NORMSINV(0.9)</f>
        <v>1.2815515655446</v>
      </c>
    </row>
    <row r="9" customFormat="false" ht="15" hidden="false" customHeight="true" outlineLevel="0" collapsed="false">
      <c r="A9" s="21" t="n">
        <v>5</v>
      </c>
      <c r="B9" s="12" t="s">
        <v>56</v>
      </c>
      <c r="C9" s="21" t="str">
        <f aca="false">INDEX(Raw_Material_Data!$B$5:$B$16,MATCH($B9,Raw_Material_Data!$A$5:$A$16,0))</f>
        <v>Nitrocellulose Resin</v>
      </c>
      <c r="D9" s="21" t="str">
        <f aca="false">INDEX(ABC_Classification!$G$5:$G$16,MATCH($B9,ABC_Classification!$B$5:$B$16,0))</f>
        <v>B</v>
      </c>
      <c r="E9" s="22" t="n">
        <f aca="false">INDEX(Raw_Material_Data!$E$5:$E$16,MATCH($B9,Raw_Material_Data!$A$5:$A$16,0))</f>
        <v>25</v>
      </c>
      <c r="F9" s="22" t="n">
        <f aca="false">INDEX(Raw_Material_Data!$F$5:$F$16,MATCH($B9,Raw_Material_Data!$A$5:$A$16,0))</f>
        <v>8</v>
      </c>
      <c r="G9" s="22" t="n">
        <f aca="false">INDEX(Raw_Material_Data!$G$5:$G$16,MATCH($B9,Raw_Material_Data!$A$5:$A$16,0))</f>
        <v>20</v>
      </c>
      <c r="H9" s="22" t="n">
        <f aca="false">INDEX(Raw_Material_Data!$H$5:$H$16,MATCH($B9,Raw_Material_Data!$A$5:$A$16,0))</f>
        <v>5</v>
      </c>
      <c r="I9" s="22" t="n">
        <f aca="false">INDEX(Raw_Material_Data!$I$5:$I$16,MATCH($B9,Raw_Material_Data!$A$5:$A$16,0))</f>
        <v>310</v>
      </c>
      <c r="J9" s="22" t="n">
        <f aca="false">INDEX(Raw_Material_Data!$J$5:$J$16,MATCH($B9,Raw_Material_Data!$A$5:$A$16,0))</f>
        <v>800</v>
      </c>
      <c r="K9" s="22" t="n">
        <f aca="false">INDEX(Raw_Material_Data!$K$5:$K$16,MATCH($B9,Raw_Material_Data!$A$5:$A$16,0))</f>
        <v>100</v>
      </c>
      <c r="L9" s="26" t="n">
        <f aca="false">IF($D9="A",$T$6,IF($D9="B",$T$7,$T$8))*SQRT(G9*F9^2+E9^2*H9^2)</f>
        <v>213.862600964925</v>
      </c>
      <c r="M9" s="26" t="n">
        <f aca="false">E9*G9+L9</f>
        <v>713.862600964925</v>
      </c>
      <c r="N9" s="21" t="str">
        <f aca="false">IF(J9&lt;M9,"REORDER NOW","OK")</f>
        <v>OK</v>
      </c>
      <c r="O9" s="22" t="n">
        <f aca="false">SQRT(2*E9*365*$T$4/($T$5*I9))</f>
        <v>664.478937261759</v>
      </c>
      <c r="P9" s="22" t="n">
        <f aca="false">IF(N9="REORDER NOW",ROUNDUP(MAX(O9,K9)/K9,0)*K9,0)</f>
        <v>0</v>
      </c>
      <c r="Q9" s="22" t="n">
        <f aca="false">P9*I9</f>
        <v>0</v>
      </c>
    </row>
    <row r="10" customFormat="false" ht="15" hidden="false" customHeight="true" outlineLevel="0" collapsed="false">
      <c r="A10" s="23" t="n">
        <v>6</v>
      </c>
      <c r="B10" s="16" t="s">
        <v>59</v>
      </c>
      <c r="C10" s="23" t="str">
        <f aca="false">INDEX(Raw_Material_Data!$B$5:$B$16,MATCH($B10,Raw_Material_Data!$A$5:$A$16,0))</f>
        <v>Acrylic Resin</v>
      </c>
      <c r="D10" s="23" t="str">
        <f aca="false">INDEX(ABC_Classification!$G$5:$G$16,MATCH($B10,ABC_Classification!$B$5:$B$16,0))</f>
        <v>B</v>
      </c>
      <c r="E10" s="24" t="n">
        <f aca="false">INDEX(Raw_Material_Data!$E$5:$E$16,MATCH($B10,Raw_Material_Data!$A$5:$A$16,0))</f>
        <v>30</v>
      </c>
      <c r="F10" s="24" t="n">
        <f aca="false">INDEX(Raw_Material_Data!$F$5:$F$16,MATCH($B10,Raw_Material_Data!$A$5:$A$16,0))</f>
        <v>9</v>
      </c>
      <c r="G10" s="24" t="n">
        <f aca="false">INDEX(Raw_Material_Data!$G$5:$G$16,MATCH($B10,Raw_Material_Data!$A$5:$A$16,0))</f>
        <v>12</v>
      </c>
      <c r="H10" s="24" t="n">
        <f aca="false">INDEX(Raw_Material_Data!$H$5:$H$16,MATCH($B10,Raw_Material_Data!$A$5:$A$16,0))</f>
        <v>3</v>
      </c>
      <c r="I10" s="24" t="n">
        <f aca="false">INDEX(Raw_Material_Data!$I$5:$I$16,MATCH($B10,Raw_Material_Data!$A$5:$A$16,0))</f>
        <v>210</v>
      </c>
      <c r="J10" s="24" t="n">
        <f aca="false">INDEX(Raw_Material_Data!$J$5:$J$16,MATCH($B10,Raw_Material_Data!$A$5:$A$16,0))</f>
        <v>600</v>
      </c>
      <c r="K10" s="24" t="n">
        <f aca="false">INDEX(Raw_Material_Data!$K$5:$K$16,MATCH($B10,Raw_Material_Data!$A$5:$A$16,0))</f>
        <v>200</v>
      </c>
      <c r="L10" s="28" t="n">
        <f aca="false">IF($D10="A",$T$6,IF($D10="B",$T$7,$T$8))*SQRT(G10*F10^2+E10^2*H10^2)</f>
        <v>156.667451040583</v>
      </c>
      <c r="M10" s="28" t="n">
        <f aca="false">E10*G10+L10</f>
        <v>516.667451040583</v>
      </c>
      <c r="N10" s="23" t="str">
        <f aca="false">IF(J10&lt;M10,"REORDER NOW","OK")</f>
        <v>OK</v>
      </c>
      <c r="O10" s="24" t="n">
        <f aca="false">SQRT(2*E10*365*$T$4/($T$5*I10))</f>
        <v>884.388408530357</v>
      </c>
      <c r="P10" s="24" t="n">
        <f aca="false">IF(N10="REORDER NOW",ROUNDUP(MAX(O10,K10)/K10,0)*K10,0)</f>
        <v>0</v>
      </c>
      <c r="Q10" s="24" t="n">
        <f aca="false">P10*I10</f>
        <v>0</v>
      </c>
    </row>
    <row r="11" customFormat="false" ht="15" hidden="false" customHeight="true" outlineLevel="0" collapsed="false">
      <c r="A11" s="21" t="n">
        <v>7</v>
      </c>
      <c r="B11" s="12" t="s">
        <v>62</v>
      </c>
      <c r="C11" s="21" t="str">
        <f aca="false">INDEX(Raw_Material_Data!$B$5:$B$16,MATCH($B11,Raw_Material_Data!$A$5:$A$16,0))</f>
        <v>Ethyl Acetate Solvent</v>
      </c>
      <c r="D11" s="21" t="str">
        <f aca="false">INDEX(ABC_Classification!$G$5:$G$16,MATCH($B11,ABC_Classification!$B$5:$B$16,0))</f>
        <v>B</v>
      </c>
      <c r="E11" s="22" t="n">
        <f aca="false">INDEX(Raw_Material_Data!$E$5:$E$16,MATCH($B11,Raw_Material_Data!$A$5:$A$16,0))</f>
        <v>80</v>
      </c>
      <c r="F11" s="22" t="n">
        <f aca="false">INDEX(Raw_Material_Data!$F$5:$F$16,MATCH($B11,Raw_Material_Data!$A$5:$A$16,0))</f>
        <v>20</v>
      </c>
      <c r="G11" s="22" t="n">
        <f aca="false">INDEX(Raw_Material_Data!$G$5:$G$16,MATCH($B11,Raw_Material_Data!$A$5:$A$16,0))</f>
        <v>7</v>
      </c>
      <c r="H11" s="22" t="n">
        <f aca="false">INDEX(Raw_Material_Data!$H$5:$H$16,MATCH($B11,Raw_Material_Data!$A$5:$A$16,0))</f>
        <v>1</v>
      </c>
      <c r="I11" s="22" t="n">
        <f aca="false">INDEX(Raw_Material_Data!$I$5:$I$16,MATCH($B11,Raw_Material_Data!$A$5:$A$16,0))</f>
        <v>95</v>
      </c>
      <c r="J11" s="22" t="n">
        <f aca="false">INDEX(Raw_Material_Data!$J$5:$J$16,MATCH($B11,Raw_Material_Data!$A$5:$A$16,0))</f>
        <v>850</v>
      </c>
      <c r="K11" s="22" t="n">
        <f aca="false">INDEX(Raw_Material_Data!$K$5:$K$16,MATCH($B11,Raw_Material_Data!$A$5:$A$16,0))</f>
        <v>500</v>
      </c>
      <c r="L11" s="26" t="n">
        <f aca="false">IF($D11="A",$T$6,IF($D11="B",$T$7,$T$8))*SQRT(G11*F11^2+E11^2*H11^2)</f>
        <v>157.768817507383</v>
      </c>
      <c r="M11" s="26" t="n">
        <f aca="false">E11*G11+L11</f>
        <v>717.768817507383</v>
      </c>
      <c r="N11" s="21" t="str">
        <f aca="false">IF(J11&lt;M11,"REORDER NOW","OK")</f>
        <v>OK</v>
      </c>
      <c r="O11" s="22" t="n">
        <f aca="false">SQRT(2*E11*365*$T$4/($T$5*I11))</f>
        <v>2147.21361671108</v>
      </c>
      <c r="P11" s="22" t="n">
        <f aca="false">IF(N11="REORDER NOW",ROUNDUP(MAX(O11,K11)/K11,0)*K11,0)</f>
        <v>0</v>
      </c>
      <c r="Q11" s="22" t="n">
        <f aca="false">P11*I11</f>
        <v>0</v>
      </c>
    </row>
    <row r="12" customFormat="false" ht="15" hidden="false" customHeight="true" outlineLevel="0" collapsed="false">
      <c r="A12" s="23" t="n">
        <v>8</v>
      </c>
      <c r="B12" s="16" t="s">
        <v>65</v>
      </c>
      <c r="C12" s="23" t="str">
        <f aca="false">INDEX(Raw_Material_Data!$B$5:$B$16,MATCH($B12,Raw_Material_Data!$A$5:$A$16,0))</f>
        <v>IPA Solvent</v>
      </c>
      <c r="D12" s="23" t="str">
        <f aca="false">INDEX(ABC_Classification!$G$5:$G$16,MATCH($B12,ABC_Classification!$B$5:$B$16,0))</f>
        <v>C</v>
      </c>
      <c r="E12" s="24" t="n">
        <f aca="false">INDEX(Raw_Material_Data!$E$5:$E$16,MATCH($B12,Raw_Material_Data!$A$5:$A$16,0))</f>
        <v>45</v>
      </c>
      <c r="F12" s="24" t="n">
        <f aca="false">INDEX(Raw_Material_Data!$F$5:$F$16,MATCH($B12,Raw_Material_Data!$A$5:$A$16,0))</f>
        <v>12</v>
      </c>
      <c r="G12" s="24" t="n">
        <f aca="false">INDEX(Raw_Material_Data!$G$5:$G$16,MATCH($B12,Raw_Material_Data!$A$5:$A$16,0))</f>
        <v>9</v>
      </c>
      <c r="H12" s="24" t="n">
        <f aca="false">INDEX(Raw_Material_Data!$H$5:$H$16,MATCH($B12,Raw_Material_Data!$A$5:$A$16,0))</f>
        <v>2</v>
      </c>
      <c r="I12" s="24" t="n">
        <f aca="false">INDEX(Raw_Material_Data!$I$5:$I$16,MATCH($B12,Raw_Material_Data!$A$5:$A$16,0))</f>
        <v>110</v>
      </c>
      <c r="J12" s="24" t="n">
        <f aca="false">INDEX(Raw_Material_Data!$J$5:$J$16,MATCH($B12,Raw_Material_Data!$A$5:$A$16,0))</f>
        <v>580</v>
      </c>
      <c r="K12" s="24" t="n">
        <f aca="false">INDEX(Raw_Material_Data!$K$5:$K$16,MATCH($B12,Raw_Material_Data!$A$5:$A$16,0))</f>
        <v>300</v>
      </c>
      <c r="L12" s="28" t="n">
        <f aca="false">IF($D12="A",$T$6,IF($D12="B",$T$7,$T$8))*SQRT(G12*F12^2+E12^2*H12^2)</f>
        <v>124.22459500738</v>
      </c>
      <c r="M12" s="28" t="n">
        <f aca="false">E12*G12+L12</f>
        <v>529.224595007381</v>
      </c>
      <c r="N12" s="23" t="str">
        <f aca="false">IF(J12&lt;M12,"REORDER NOW","OK")</f>
        <v>OK</v>
      </c>
      <c r="O12" s="24" t="n">
        <f aca="false">SQRT(2*E12*365*$T$4/($T$5*I12))</f>
        <v>1496.5870262944</v>
      </c>
      <c r="P12" s="24" t="n">
        <f aca="false">IF(N12="REORDER NOW",ROUNDUP(MAX(O12,K12)/K12,0)*K12,0)</f>
        <v>0</v>
      </c>
      <c r="Q12" s="24" t="n">
        <f aca="false">P12*I12</f>
        <v>0</v>
      </c>
    </row>
    <row r="13" customFormat="false" ht="15" hidden="false" customHeight="true" outlineLevel="0" collapsed="false">
      <c r="A13" s="21" t="n">
        <v>9</v>
      </c>
      <c r="B13" s="12" t="s">
        <v>68</v>
      </c>
      <c r="C13" s="21" t="str">
        <f aca="false">INDEX(Raw_Material_Data!$B$5:$B$16,MATCH($B13,Raw_Material_Data!$A$5:$A$16,0))</f>
        <v>Wax Compound Additive</v>
      </c>
      <c r="D13" s="21" t="str">
        <f aca="false">INDEX(ABC_Classification!$G$5:$G$16,MATCH($B13,ABC_Classification!$B$5:$B$16,0))</f>
        <v>C</v>
      </c>
      <c r="E13" s="22" t="n">
        <f aca="false">INDEX(Raw_Material_Data!$E$5:$E$16,MATCH($B13,Raw_Material_Data!$A$5:$A$16,0))</f>
        <v>8</v>
      </c>
      <c r="F13" s="22" t="n">
        <f aca="false">INDEX(Raw_Material_Data!$F$5:$F$16,MATCH($B13,Raw_Material_Data!$A$5:$A$16,0))</f>
        <v>3</v>
      </c>
      <c r="G13" s="22" t="n">
        <f aca="false">INDEX(Raw_Material_Data!$G$5:$G$16,MATCH($B13,Raw_Material_Data!$A$5:$A$16,0))</f>
        <v>14</v>
      </c>
      <c r="H13" s="22" t="n">
        <f aca="false">INDEX(Raw_Material_Data!$H$5:$H$16,MATCH($B13,Raw_Material_Data!$A$5:$A$16,0))</f>
        <v>3</v>
      </c>
      <c r="I13" s="22" t="n">
        <f aca="false">INDEX(Raw_Material_Data!$I$5:$I$16,MATCH($B13,Raw_Material_Data!$A$5:$A$16,0))</f>
        <v>320</v>
      </c>
      <c r="J13" s="22" t="n">
        <f aca="false">INDEX(Raw_Material_Data!$J$5:$J$16,MATCH($B13,Raw_Material_Data!$A$5:$A$16,0))</f>
        <v>200</v>
      </c>
      <c r="K13" s="22" t="n">
        <f aca="false">INDEX(Raw_Material_Data!$K$5:$K$16,MATCH($B13,Raw_Material_Data!$A$5:$A$16,0))</f>
        <v>50</v>
      </c>
      <c r="L13" s="26" t="n">
        <f aca="false">IF($D13="A",$T$6,IF($D13="B",$T$7,$T$8))*SQRT(G13*F13^2+E13^2*H13^2)</f>
        <v>33.955070894274</v>
      </c>
      <c r="M13" s="26" t="n">
        <f aca="false">E13*G13+L13</f>
        <v>145.955070894274</v>
      </c>
      <c r="N13" s="21" t="str">
        <f aca="false">IF(J13&lt;M13,"REORDER NOW","OK")</f>
        <v>OK</v>
      </c>
      <c r="O13" s="22" t="n">
        <f aca="false">SQRT(2*E13*365*$T$4/($T$5*I13))</f>
        <v>369.966214673719</v>
      </c>
      <c r="P13" s="22" t="n">
        <f aca="false">IF(N13="REORDER NOW",ROUNDUP(MAX(O13,K13)/K13,0)*K13,0)</f>
        <v>0</v>
      </c>
      <c r="Q13" s="22" t="n">
        <f aca="false">P13*I13</f>
        <v>0</v>
      </c>
    </row>
    <row r="14" customFormat="false" ht="15" hidden="false" customHeight="true" outlineLevel="0" collapsed="false">
      <c r="A14" s="23" t="n">
        <v>10</v>
      </c>
      <c r="B14" s="16" t="s">
        <v>72</v>
      </c>
      <c r="C14" s="23" t="str">
        <f aca="false">INDEX(Raw_Material_Data!$B$5:$B$16,MATCH($B14,Raw_Material_Data!$A$5:$A$16,0))</f>
        <v>Defoamer Additive</v>
      </c>
      <c r="D14" s="23" t="str">
        <f aca="false">INDEX(ABC_Classification!$G$5:$G$16,MATCH($B14,ABC_Classification!$B$5:$B$16,0))</f>
        <v>C</v>
      </c>
      <c r="E14" s="24" t="n">
        <f aca="false">INDEX(Raw_Material_Data!$E$5:$E$16,MATCH($B14,Raw_Material_Data!$A$5:$A$16,0))</f>
        <v>5</v>
      </c>
      <c r="F14" s="24" t="n">
        <f aca="false">INDEX(Raw_Material_Data!$F$5:$F$16,MATCH($B14,Raw_Material_Data!$A$5:$A$16,0))</f>
        <v>2</v>
      </c>
      <c r="G14" s="24" t="n">
        <f aca="false">INDEX(Raw_Material_Data!$G$5:$G$16,MATCH($B14,Raw_Material_Data!$A$5:$A$16,0))</f>
        <v>10</v>
      </c>
      <c r="H14" s="24" t="n">
        <f aca="false">INDEX(Raw_Material_Data!$H$5:$H$16,MATCH($B14,Raw_Material_Data!$A$5:$A$16,0))</f>
        <v>2</v>
      </c>
      <c r="I14" s="24" t="n">
        <f aca="false">INDEX(Raw_Material_Data!$I$5:$I$16,MATCH($B14,Raw_Material_Data!$A$5:$A$16,0))</f>
        <v>450</v>
      </c>
      <c r="J14" s="24" t="n">
        <f aca="false">INDEX(Raw_Material_Data!$J$5:$J$16,MATCH($B14,Raw_Material_Data!$A$5:$A$16,0))</f>
        <v>100</v>
      </c>
      <c r="K14" s="24" t="n">
        <f aca="false">INDEX(Raw_Material_Data!$K$5:$K$16,MATCH($B14,Raw_Material_Data!$A$5:$A$16,0))</f>
        <v>25</v>
      </c>
      <c r="L14" s="28" t="n">
        <f aca="false">IF($D14="A",$T$6,IF($D14="B",$T$7,$T$8))*SQRT(G14*F14^2+E14^2*H14^2)</f>
        <v>15.1635226158362</v>
      </c>
      <c r="M14" s="28" t="n">
        <f aca="false">E14*G14+L14</f>
        <v>65.1635226158361</v>
      </c>
      <c r="N14" s="23" t="str">
        <f aca="false">IF(J14&lt;M14,"REORDER NOW","OK")</f>
        <v>OK</v>
      </c>
      <c r="O14" s="24" t="n">
        <f aca="false">SQRT(2*E14*365*$T$4/($T$5*I14))</f>
        <v>246.644143115812</v>
      </c>
      <c r="P14" s="24" t="n">
        <f aca="false">IF(N14="REORDER NOW",ROUNDUP(MAX(O14,K14)/K14,0)*K14,0)</f>
        <v>0</v>
      </c>
      <c r="Q14" s="24" t="n">
        <f aca="false">P14*I14</f>
        <v>0</v>
      </c>
    </row>
    <row r="15" customFormat="false" ht="15" hidden="false" customHeight="true" outlineLevel="0" collapsed="false">
      <c r="A15" s="21" t="n">
        <v>11</v>
      </c>
      <c r="B15" s="12" t="s">
        <v>75</v>
      </c>
      <c r="C15" s="21" t="str">
        <f aca="false">INDEX(Raw_Material_Data!$B$5:$B$16,MATCH($B15,Raw_Material_Data!$A$5:$A$16,0))</f>
        <v>Aluminium Paste (Metallic Silver)</v>
      </c>
      <c r="D15" s="21" t="str">
        <f aca="false">INDEX(ABC_Classification!$G$5:$G$16,MATCH($B15,ABC_Classification!$B$5:$B$16,0))</f>
        <v>A</v>
      </c>
      <c r="E15" s="22" t="n">
        <f aca="false">INDEX(Raw_Material_Data!$E$5:$E$16,MATCH($B15,Raw_Material_Data!$A$5:$A$16,0))</f>
        <v>10</v>
      </c>
      <c r="F15" s="22" t="n">
        <f aca="false">INDEX(Raw_Material_Data!$F$5:$F$16,MATCH($B15,Raw_Material_Data!$A$5:$A$16,0))</f>
        <v>5</v>
      </c>
      <c r="G15" s="22" t="n">
        <f aca="false">INDEX(Raw_Material_Data!$G$5:$G$16,MATCH($B15,Raw_Material_Data!$A$5:$A$16,0))</f>
        <v>30</v>
      </c>
      <c r="H15" s="22" t="n">
        <f aca="false">INDEX(Raw_Material_Data!$H$5:$H$16,MATCH($B15,Raw_Material_Data!$A$5:$A$16,0))</f>
        <v>7</v>
      </c>
      <c r="I15" s="22" t="n">
        <f aca="false">INDEX(Raw_Material_Data!$I$5:$I$16,MATCH($B15,Raw_Material_Data!$A$5:$A$16,0))</f>
        <v>1800</v>
      </c>
      <c r="J15" s="22" t="n">
        <f aca="false">INDEX(Raw_Material_Data!$J$5:$J$16,MATCH($B15,Raw_Material_Data!$A$5:$A$16,0))</f>
        <v>200</v>
      </c>
      <c r="K15" s="22" t="n">
        <f aca="false">INDEX(Raw_Material_Data!$K$5:$K$16,MATCH($B15,Raw_Material_Data!$A$5:$A$16,0))</f>
        <v>50</v>
      </c>
      <c r="L15" s="26" t="n">
        <f aca="false">IF($D15="A",$T$6,IF($D15="B",$T$7,$T$8))*SQRT(G15*F15^2+E15^2*H15^2)</f>
        <v>174.863385348268</v>
      </c>
      <c r="M15" s="26" t="n">
        <f aca="false">E15*G15+L15</f>
        <v>474.863385348268</v>
      </c>
      <c r="N15" s="21" t="str">
        <f aca="false">IF(J15&lt;M15,"REORDER NOW","OK")</f>
        <v>REORDER NOW</v>
      </c>
      <c r="O15" s="22" t="n">
        <f aca="false">SQRT(2*E15*365*$T$4/($T$5*I15))</f>
        <v>174.403746137136</v>
      </c>
      <c r="P15" s="22" t="n">
        <f aca="false">IF(N15="REORDER NOW",ROUNDUP(MAX(O15,K15)/K15,0)*K15,0)</f>
        <v>200</v>
      </c>
      <c r="Q15" s="22" t="n">
        <f aca="false">P15*I15</f>
        <v>360000</v>
      </c>
    </row>
    <row r="16" customFormat="false" ht="15" hidden="false" customHeight="true" outlineLevel="0" collapsed="false">
      <c r="A16" s="23" t="n">
        <v>12</v>
      </c>
      <c r="B16" s="16" t="s">
        <v>78</v>
      </c>
      <c r="C16" s="23" t="str">
        <f aca="false">INDEX(Raw_Material_Data!$B$5:$B$16,MATCH($B16,Raw_Material_Data!$A$5:$A$16,0))</f>
        <v>Yellow/Red Organic Pigment</v>
      </c>
      <c r="D16" s="23" t="str">
        <f aca="false">INDEX(ABC_Classification!$G$5:$G$16,MATCH($B16,ABC_Classification!$B$5:$B$16,0))</f>
        <v>A</v>
      </c>
      <c r="E16" s="24" t="n">
        <f aca="false">INDEX(Raw_Material_Data!$E$5:$E$16,MATCH($B16,Raw_Material_Data!$A$5:$A$16,0))</f>
        <v>15</v>
      </c>
      <c r="F16" s="24" t="n">
        <f aca="false">INDEX(Raw_Material_Data!$F$5:$F$16,MATCH($B16,Raw_Material_Data!$A$5:$A$16,0))</f>
        <v>5</v>
      </c>
      <c r="G16" s="24" t="n">
        <f aca="false">INDEX(Raw_Material_Data!$G$5:$G$16,MATCH($B16,Raw_Material_Data!$A$5:$A$16,0))</f>
        <v>16</v>
      </c>
      <c r="H16" s="24" t="n">
        <f aca="false">INDEX(Raw_Material_Data!$H$5:$H$16,MATCH($B16,Raw_Material_Data!$A$5:$A$16,0))</f>
        <v>3</v>
      </c>
      <c r="I16" s="24" t="n">
        <f aca="false">INDEX(Raw_Material_Data!$I$5:$I$16,MATCH($B16,Raw_Material_Data!$A$5:$A$16,0))</f>
        <v>650</v>
      </c>
      <c r="J16" s="24" t="n">
        <f aca="false">INDEX(Raw_Material_Data!$J$5:$J$16,MATCH($B16,Raw_Material_Data!$A$5:$A$16,0))</f>
        <v>340</v>
      </c>
      <c r="K16" s="24" t="n">
        <f aca="false">INDEX(Raw_Material_Data!$K$5:$K$16,MATCH($B16,Raw_Material_Data!$A$5:$A$16,0))</f>
        <v>100</v>
      </c>
      <c r="L16" s="28" t="n">
        <f aca="false">IF($D16="A",$T$6,IF($D16="B",$T$7,$T$8))*SQRT(G16*F16^2+E16^2*H16^2)</f>
        <v>114.559347044695</v>
      </c>
      <c r="M16" s="28" t="n">
        <f aca="false">E16*G16+L16</f>
        <v>354.559347044695</v>
      </c>
      <c r="N16" s="23" t="str">
        <f aca="false">IF(J16&lt;M16,"REORDER NOW","OK")</f>
        <v>REORDER NOW</v>
      </c>
      <c r="O16" s="24" t="n">
        <f aca="false">SQRT(2*E16*365*$T$4/($T$5*I16))</f>
        <v>355.452041555755</v>
      </c>
      <c r="P16" s="24" t="n">
        <f aca="false">IF(N16="REORDER NOW",ROUNDUP(MAX(O16,K16)/K16,0)*K16,0)</f>
        <v>400</v>
      </c>
      <c r="Q16" s="24" t="n">
        <f aca="false">P16*I16</f>
        <v>260000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27.75" hidden="false" customHeight="true" outlineLevel="0" collapsed="false">
      <c r="A1" s="2" t="s">
        <v>118</v>
      </c>
      <c r="B1" s="2"/>
      <c r="C1" s="2"/>
      <c r="D1" s="2"/>
      <c r="E1" s="2"/>
    </row>
    <row r="2" customFormat="false" ht="18" hidden="false" customHeight="true" outlineLevel="0" collapsed="false">
      <c r="A2" s="3" t="s">
        <v>119</v>
      </c>
      <c r="B2" s="3"/>
      <c r="C2" s="3"/>
      <c r="D2" s="3"/>
      <c r="E2" s="3"/>
    </row>
    <row r="4" customFormat="false" ht="21.75" hidden="false" customHeight="true" outlineLevel="0" collapsed="false">
      <c r="A4" s="29" t="s">
        <v>120</v>
      </c>
      <c r="B4" s="29" t="s">
        <v>121</v>
      </c>
      <c r="C4" s="29" t="s">
        <v>122</v>
      </c>
      <c r="D4" s="29" t="s">
        <v>123</v>
      </c>
    </row>
    <row r="5" customFormat="false" ht="15" hidden="false" customHeight="true" outlineLevel="0" collapsed="false">
      <c r="A5" s="30" t="s">
        <v>124</v>
      </c>
      <c r="B5" s="31" t="n">
        <f aca="false">COUNTIF(Manual_Policy!I5:I16,"REORDER NOW")</f>
        <v>2</v>
      </c>
      <c r="C5" s="31" t="n">
        <f aca="false">COUNTIF(AI_Naive_Policy!K5:K16,"REORDER NOW")</f>
        <v>2</v>
      </c>
      <c r="D5" s="31" t="n">
        <f aca="false">COUNTIF(Agent_Policy!N5:N16,"REORDER NOW")</f>
        <v>4</v>
      </c>
    </row>
    <row r="6" customFormat="false" ht="15" hidden="false" customHeight="true" outlineLevel="0" collapsed="false">
      <c r="A6" s="32" t="s">
        <v>125</v>
      </c>
      <c r="B6" s="33" t="n">
        <v>0</v>
      </c>
      <c r="C6" s="33" t="n">
        <v>2</v>
      </c>
      <c r="D6" s="33" t="n">
        <v>4</v>
      </c>
    </row>
    <row r="7" customFormat="false" ht="15" hidden="false" customHeight="true" outlineLevel="0" collapsed="false">
      <c r="A7" s="30" t="s">
        <v>126</v>
      </c>
      <c r="B7" s="31" t="s">
        <v>127</v>
      </c>
      <c r="C7" s="34" t="n">
        <f aca="false">SUMPRODUCT(AI_Naive_Policy!I5:I16,Raw_Material_Data!I5:I16)</f>
        <v>789370.448989329</v>
      </c>
      <c r="D7" s="34" t="n">
        <f aca="false">SUMPRODUCT(Agent_Policy!L5:L16,Agent_Policy!I5:I16)</f>
        <v>1018476.77355198</v>
      </c>
    </row>
    <row r="8" customFormat="false" ht="15" hidden="false" customHeight="true" outlineLevel="0" collapsed="false">
      <c r="A8" s="32" t="s">
        <v>128</v>
      </c>
      <c r="B8" s="33" t="s">
        <v>127</v>
      </c>
      <c r="C8" s="33" t="s">
        <v>127</v>
      </c>
      <c r="D8" s="35" t="n">
        <f aca="false">SUM(Agent_Policy!Q5:Q16)</f>
        <v>1560000</v>
      </c>
    </row>
    <row r="11" customFormat="false" ht="15" hidden="false" customHeight="true" outlineLevel="0" collapsed="false">
      <c r="A11" s="36" t="s">
        <v>129</v>
      </c>
    </row>
    <row r="12" customFormat="false" ht="90" hidden="false" customHeight="true" outlineLevel="0" collapsed="false">
      <c r="A12" s="37" t="s">
        <v>130</v>
      </c>
      <c r="B12" s="37"/>
      <c r="C12" s="37"/>
      <c r="D12" s="37"/>
    </row>
    <row r="13" customFormat="false" ht="15" hidden="false" customHeight="true" outlineLevel="0" collapsed="false">
      <c r="A13" s="37"/>
      <c r="B13" s="37"/>
      <c r="C13" s="37"/>
      <c r="D13" s="37"/>
    </row>
    <row r="14" customFormat="false" ht="15" hidden="false" customHeight="true" outlineLevel="0" collapsed="false">
      <c r="A14" s="37"/>
      <c r="B14" s="37"/>
      <c r="C14" s="37"/>
      <c r="D14" s="37"/>
    </row>
    <row r="15" customFormat="false" ht="15" hidden="false" customHeight="true" outlineLevel="0" collapsed="false">
      <c r="A15" s="37"/>
      <c r="B15" s="37"/>
      <c r="C15" s="37"/>
      <c r="D15" s="37"/>
    </row>
    <row r="16" customFormat="false" ht="15" hidden="false" customHeight="true" outlineLevel="0" collapsed="false">
      <c r="A16" s="37"/>
      <c r="B16" s="37"/>
      <c r="C16" s="37"/>
      <c r="D16" s="37"/>
    </row>
    <row r="17" customFormat="false" ht="15" hidden="false" customHeight="true" outlineLevel="0" collapsed="false">
      <c r="A17" s="37"/>
      <c r="B17" s="37"/>
      <c r="C17" s="37"/>
      <c r="D17" s="37"/>
    </row>
  </sheetData>
  <mergeCells count="3">
    <mergeCell ref="A1:E1"/>
    <mergeCell ref="A2:E2"/>
    <mergeCell ref="A12:D1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2026-09-27T11:56:55Z</dcterms:created>
  <dc:creator>openpyxl</dc:creator>
  <dc:description/>
  <dc:language>en-US</dc:language>
  <cp:lastModifiedBy/>
  <dcterms:modified xsi:type="dcterms:W3CDTF">2026-09-27T12:01:11Z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