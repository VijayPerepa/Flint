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aint Log" sheetId="1" state="visible" r:id="rId3"/>
    <sheet name="Complaint Analysis" sheetId="2" state="visible" r:id="rId4"/>
    <sheet name="Root Cause Cross-Tab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<sst xmlns="http://schemas.openxmlformats.org/spreadsheetml/2006/main" count="399" uniqueCount="123">
  <si>
    <t xml:space="preserve">PEREPA EDU — Customer Complaint Data Capture (Packaging Ink)</t>
  </si>
  <si>
    <t xml:space="preserve">40 logged customer complaints, Apr-Sep 2026</t>
  </si>
  <si>
    <t xml:space="preserve">Complaint ID</t>
  </si>
  <si>
    <t xml:space="preserve">Date Received</t>
  </si>
  <si>
    <t xml:space="preserve">Customer</t>
  </si>
  <si>
    <t xml:space="preserve">Product/SKU</t>
  </si>
  <si>
    <t xml:space="preserve">Ink Batch</t>
  </si>
  <si>
    <t xml:space="preserve">Substrate</t>
  </si>
  <si>
    <t xml:space="preserve">Complaint Category</t>
  </si>
  <si>
    <t xml:space="preserve">Severity</t>
  </si>
  <si>
    <t xml:space="preserve">Status</t>
  </si>
  <si>
    <t xml:space="preserve">Resolution Days</t>
  </si>
  <si>
    <t xml:space="preserve">Credit Note (INR)</t>
  </si>
  <si>
    <t xml:space="preserve">CMP-001</t>
  </si>
  <si>
    <t xml:space="preserve">Fresh Dairy Co</t>
  </si>
  <si>
    <t xml:space="preserve">SKU-A Snack Pouch</t>
  </si>
  <si>
    <t xml:space="preserve">INK-2204</t>
  </si>
  <si>
    <t xml:space="preserve">BOPP</t>
  </si>
  <si>
    <t xml:space="preserve">Odor/Taint</t>
  </si>
  <si>
    <t xml:space="preserve">Critical</t>
  </si>
  <si>
    <t xml:space="preserve">Closed</t>
  </si>
  <si>
    <t xml:space="preserve">CMP-002</t>
  </si>
  <si>
    <t xml:space="preserve">PetNutrition India</t>
  </si>
  <si>
    <t xml:space="preserve">INK-2201</t>
  </si>
  <si>
    <t xml:space="preserve">Adhesion/Delamination</t>
  </si>
  <si>
    <t xml:space="preserve">Minor</t>
  </si>
  <si>
    <t xml:space="preserve">CMP-003</t>
  </si>
  <si>
    <t xml:space="preserve">Bharat Snacks Ltd</t>
  </si>
  <si>
    <t xml:space="preserve">SKU-B Pet Food Pouch</t>
  </si>
  <si>
    <t xml:space="preserve">INK-2203</t>
  </si>
  <si>
    <t xml:space="preserve">Major</t>
  </si>
  <si>
    <t xml:space="preserve">CMP-004</t>
  </si>
  <si>
    <t xml:space="preserve">SKU-C Detergent Pouch</t>
  </si>
  <si>
    <t xml:space="preserve">INK-2205</t>
  </si>
  <si>
    <t xml:space="preserve">Viscosity/Print Defect</t>
  </si>
  <si>
    <t xml:space="preserve">CMP-005</t>
  </si>
  <si>
    <t xml:space="preserve">PET</t>
  </si>
  <si>
    <t xml:space="preserve">CMP-006</t>
  </si>
  <si>
    <t xml:space="preserve">CleanCare Chemicals</t>
  </si>
  <si>
    <t xml:space="preserve">INK-2202</t>
  </si>
  <si>
    <t xml:space="preserve">CMP-007</t>
  </si>
  <si>
    <t xml:space="preserve">PE</t>
  </si>
  <si>
    <t xml:space="preserve">CMP-008</t>
  </si>
  <si>
    <t xml:space="preserve">CMP-009</t>
  </si>
  <si>
    <t xml:space="preserve">Color Mismatch</t>
  </si>
  <si>
    <t xml:space="preserve">CMP-010</t>
  </si>
  <si>
    <t xml:space="preserve">Open</t>
  </si>
  <si>
    <t xml:space="preserve">CMP-011</t>
  </si>
  <si>
    <t xml:space="preserve">CMP-012</t>
  </si>
  <si>
    <t xml:space="preserve">CMP-013</t>
  </si>
  <si>
    <t xml:space="preserve">Nutri Foods Pvt Ltd</t>
  </si>
  <si>
    <t xml:space="preserve">CMP-014</t>
  </si>
  <si>
    <t xml:space="preserve">SpiceKing Foods</t>
  </si>
  <si>
    <t xml:space="preserve">Migration/Compliance Query</t>
  </si>
  <si>
    <t xml:space="preserve">CMP-015</t>
  </si>
  <si>
    <t xml:space="preserve">CMP-016</t>
  </si>
  <si>
    <t xml:space="preserve">CMP-017</t>
  </si>
  <si>
    <t xml:space="preserve">CMP-018</t>
  </si>
  <si>
    <t xml:space="preserve">CMP-019</t>
  </si>
  <si>
    <t xml:space="preserve">CMP-020</t>
  </si>
  <si>
    <t xml:space="preserve">Print Smudge/Scuff</t>
  </si>
  <si>
    <t xml:space="preserve">CMP-021</t>
  </si>
  <si>
    <t xml:space="preserve">CMP-022</t>
  </si>
  <si>
    <t xml:space="preserve">CMP-023</t>
  </si>
  <si>
    <t xml:space="preserve">CMP-024</t>
  </si>
  <si>
    <t xml:space="preserve">CMP-025</t>
  </si>
  <si>
    <t xml:space="preserve">CMP-026</t>
  </si>
  <si>
    <t xml:space="preserve">CMP-027</t>
  </si>
  <si>
    <t xml:space="preserve">CMP-028</t>
  </si>
  <si>
    <t xml:space="preserve">CMP-029</t>
  </si>
  <si>
    <t xml:space="preserve">CMP-030</t>
  </si>
  <si>
    <t xml:space="preserve">CMP-031</t>
  </si>
  <si>
    <t xml:space="preserve">CMP-032</t>
  </si>
  <si>
    <t xml:space="preserve">CMP-033</t>
  </si>
  <si>
    <t xml:space="preserve">CMP-034</t>
  </si>
  <si>
    <t xml:space="preserve">CMP-035</t>
  </si>
  <si>
    <t xml:space="preserve">CMP-036</t>
  </si>
  <si>
    <t xml:space="preserve">CMP-037</t>
  </si>
  <si>
    <t xml:space="preserve">CMP-038</t>
  </si>
  <si>
    <t xml:space="preserve">CMP-039</t>
  </si>
  <si>
    <t xml:space="preserve">CMP-040</t>
  </si>
  <si>
    <t xml:space="preserve">Blue cells = inputs. In practice this is captured via a CRM/complaint-management module, or a shared complaint intake form.</t>
  </si>
  <si>
    <t xml:space="preserve">Complaint Pareto — by Count and by Cost</t>
  </si>
  <si>
    <t xml:space="preserve">Which complaint category is most frequent vs which is most expensive can differ — both matter</t>
  </si>
  <si>
    <t xml:space="preserve">Count</t>
  </si>
  <si>
    <t xml:space="preserve">% of Total</t>
  </si>
  <si>
    <t xml:space="preserve">Total Credit Notes (INR)</t>
  </si>
  <si>
    <t xml:space="preserve">% of Total Cost</t>
  </si>
  <si>
    <t xml:space="preserve">Monthly Complaint Trend</t>
  </si>
  <si>
    <t xml:space="preserve">Month</t>
  </si>
  <si>
    <t xml:space="preserve">Complaints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</si>
  <si>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</si>
  <si>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</si>
  <si>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</si>
  <si>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</si>
  <si>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</si>
  <si>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</si>
  <si>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A category can be #1 by count but not by cost (or vice versa) — Pareto by cost tells the CFO story, Pareto by count tells the QA workload story.</t>
  </si>
  <si>
    <t xml:space="preserve">Which Ink Batch or Customer Is Driving Complaints?</t>
  </si>
  <si>
    <t xml:space="preserve">Cross-tab of complaint count and average resolution time by ink batch and by customer</t>
  </si>
  <si>
    <t xml:space="preserve">By Ink Batch</t>
  </si>
  <si>
    <t xml:space="preserve">Total Complaints</t>
  </si>
  <si>
    <t xml:space="preserve">Critical/Major</t>
  </si>
  <si>
    <t xml:space="preserve">Avg Resolution Days</t>
  </si>
  <si>
    <t xml:space="preserve">By Customer</t>
  </si>
  <si>
    <t xml:space="preserve">If one ink batch shows up disproportionately across multiple customers' complaints, that batch (not each customer's process) is the common root cause.</t>
  </si>
  <si>
    <t xml:space="preserve">How Technical/QA Used Copilot to Build This Complaint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</si>
  <si>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</si>
  <si>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</si>
  <si>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</si>
  <si>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</si>
  <si>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</si>
  <si>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From this complaint log, count complaints by category and separately total the credit notes by category, each as a % of total.</t>
  </si>
  <si>
    <t xml:space="preserve">'Complaint Analysis'!A5:E10 — COUNTIF and SUMIF per category, with a combo chart comparing count vs cost.</t>
  </si>
  <si>
    <t xml:space="preserve">2</t>
  </si>
  <si>
    <t xml:space="preserve">Show me the monthly trend of complaint count and credit note value from April to September.</t>
  </si>
  <si>
    <t xml:space="preserve">'Complaint Analysis'!A15:C21 — SUMPRODUCT with a MONTH() condition, one row per month.</t>
  </si>
  <si>
    <t xml:space="preserve">3</t>
  </si>
  <si>
    <t xml:space="preserve">Break down total complaints, critical/major complaints, and average resolution time by ink batch, and separately by customer.</t>
  </si>
  <si>
    <t xml:space="preserve">'Root Cause Cross-Tab'!A5:D14 — COUNTIF/COUNTIFS/AVERAGEIFS cross-tabs for batch and customer.</t>
  </si>
  <si>
    <t xml:space="preserve">4</t>
  </si>
  <si>
    <t xml:space="preserve">Which ink batch appears across the most different customers' complaints? That's likely a manufacturing root cause, not a customer-specific issue.</t>
  </si>
  <si>
    <t xml:space="preserve">Read directly off the Root Cause Cross-Tab table above — Copilot can also write a one-line summary sentence naming the batch with the highest complaint count.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</si>
</sst>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#,##0"/>
    <numFmt numFmtId="167" formatCode="0.0%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Complaints by Category — Count vs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'Complaint Analysis'!B4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'Complaint Analysis'!$A$5:$A$10</c:f>
              <c:strCache>
                <c:ptCount val="6"/>
                <c:pt idx="0">
                  <c:v>Adhesion/Delamination</c:v>
                </c:pt>
                <c:pt idx="1">
                  <c:v>Color Mismatch</c:v>
                </c:pt>
                <c:pt idx="2">
                  <c:v>Odor/Taint</c:v>
                </c:pt>
                <c:pt idx="3">
                  <c:v>Print Smudge/Scuff</c:v>
                </c:pt>
                <c:pt idx="4">
                  <c:v>Migration/Compliance Query</c:v>
                </c:pt>
                <c:pt idx="5">
                  <c:v>Viscosity/Print Defect</c:v>
                </c:pt>
              </c:strCache>
            </c:strRef>
          </c:cat>
          <c:val>
            <c:numRef>
              <c:f>'Complaint Analysis'!$B$5:$B$10</c:f>
              <c:numCache>
                <c:formatCode>General</c:formatCode>
                <c:ptCount val="6"/>
                <c:pt idx="0">
                  <c:v>21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77499486"/>
        <c:axId val="58298155"/>
      </c:barChart>
      <c:lineChart>
        <c:grouping val="standard"/>
        <c:varyColors val="0"/>
        <c:ser>
          <c:idx val="1"/>
          <c:order val="1"/>
          <c:tx>
            <c:strRef>
              <c:f>'Complaint Analysis'!D4</c:f>
              <c:strCache>
                <c:ptCount val="1"/>
                <c:pt idx="0">
                  <c:v>Total Credit Notes (INR)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'Complaint Analysis'!$A$5:$A$10</c:f>
              <c:strCache>
                <c:ptCount val="6"/>
                <c:pt idx="0">
                  <c:v>Adhesion/Delamination</c:v>
                </c:pt>
                <c:pt idx="1">
                  <c:v>Color Mismatch</c:v>
                </c:pt>
                <c:pt idx="2">
                  <c:v>Odor/Taint</c:v>
                </c:pt>
                <c:pt idx="3">
                  <c:v>Print Smudge/Scuff</c:v>
                </c:pt>
                <c:pt idx="4">
                  <c:v>Migration/Compliance Query</c:v>
                </c:pt>
                <c:pt idx="5">
                  <c:v>Viscosity/Print Defect</c:v>
                </c:pt>
              </c:strCache>
            </c:strRef>
          </c:cat>
          <c:val>
            <c:numRef>
              <c:f>'Complaint Analysis'!$D$5:$D$10</c:f>
              <c:numCache>
                <c:formatCode>#,##0</c:formatCode>
                <c:ptCount val="6"/>
                <c:pt idx="0">
                  <c:v>436641</c:v>
                </c:pt>
                <c:pt idx="1">
                  <c:v>6601</c:v>
                </c:pt>
                <c:pt idx="2">
                  <c:v>343789</c:v>
                </c:pt>
                <c:pt idx="3">
                  <c:v>39190</c:v>
                </c:pt>
                <c:pt idx="4">
                  <c:v>30755</c:v>
                </c:pt>
                <c:pt idx="5">
                  <c:v>6586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932657"/>
        <c:axId val="33444003"/>
      </c:lineChart>
      <c:catAx>
        <c:axId val="77499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298155"/>
        <c:crosses val="autoZero"/>
        <c:auto val="1"/>
        <c:lblAlgn val="ctr"/>
        <c:lblOffset val="100"/>
        <c:noMultiLvlLbl val="0"/>
      </c:catAx>
      <c:valAx>
        <c:axId val="58298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499486"/>
        <c:crosses val="autoZero"/>
        <c:crossBetween val="between"/>
      </c:valAx>
      <c:catAx>
        <c:axId val="4093265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444003"/>
        <c:crosses val="autoZero"/>
        <c:auto val="1"/>
        <c:lblAlgn val="ctr"/>
        <c:lblOffset val="100"/>
        <c:noMultiLvlLbl val="0"/>
      </c:catAx>
      <c:valAx>
        <c:axId val="3344400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Credit Notes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93265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4680</xdr:colOff>
      <xdr:row>17</xdr:row>
      <xdr:rowOff>153360</xdr:rowOff>
    </xdr:to>
    <xdr:graphicFrame>
      <xdr:nvGraphicFramePr>
        <xdr:cNvPr id="1" name="Chart 1"/>
        <xdr:cNvGraphicFramePr/>
      </xdr:nvGraphicFramePr>
      <xdr:xfrm>
        <a:off x="6391440" y="6012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46116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n">
        <v>9</v>
      </c>
      <c r="K5" s="7" t="n">
        <v>58296</v>
      </c>
    </row>
    <row r="6" customFormat="false" ht="15" hidden="false" customHeight="false" outlineLevel="0" collapsed="false">
      <c r="A6" s="4" t="s">
        <v>21</v>
      </c>
      <c r="B6" s="5" t="n">
        <v>46150</v>
      </c>
      <c r="C6" s="6" t="s">
        <v>22</v>
      </c>
      <c r="D6" s="6" t="s">
        <v>15</v>
      </c>
      <c r="E6" s="6" t="s">
        <v>23</v>
      </c>
      <c r="F6" s="6" t="s">
        <v>17</v>
      </c>
      <c r="G6" s="6" t="s">
        <v>24</v>
      </c>
      <c r="H6" s="6" t="s">
        <v>25</v>
      </c>
      <c r="I6" s="6" t="s">
        <v>20</v>
      </c>
      <c r="J6" s="6" t="n">
        <v>8</v>
      </c>
      <c r="K6" s="7" t="n">
        <v>0</v>
      </c>
    </row>
    <row r="7" customFormat="false" ht="15" hidden="false" customHeight="false" outlineLevel="0" collapsed="false">
      <c r="A7" s="4" t="s">
        <v>26</v>
      </c>
      <c r="B7" s="5" t="n">
        <v>46143</v>
      </c>
      <c r="C7" s="6" t="s">
        <v>27</v>
      </c>
      <c r="D7" s="6" t="s">
        <v>28</v>
      </c>
      <c r="E7" s="6" t="s">
        <v>29</v>
      </c>
      <c r="F7" s="6" t="s">
        <v>17</v>
      </c>
      <c r="G7" s="6" t="s">
        <v>24</v>
      </c>
      <c r="H7" s="6" t="s">
        <v>30</v>
      </c>
      <c r="I7" s="6" t="s">
        <v>20</v>
      </c>
      <c r="J7" s="6" t="n">
        <v>9</v>
      </c>
      <c r="K7" s="7" t="n">
        <v>23784</v>
      </c>
    </row>
    <row r="8" customFormat="false" ht="15" hidden="false" customHeight="false" outlineLevel="0" collapsed="false">
      <c r="A8" s="4" t="s">
        <v>31</v>
      </c>
      <c r="B8" s="5" t="n">
        <v>46168</v>
      </c>
      <c r="C8" s="6" t="s">
        <v>14</v>
      </c>
      <c r="D8" s="6" t="s">
        <v>32</v>
      </c>
      <c r="E8" s="6" t="s">
        <v>33</v>
      </c>
      <c r="F8" s="6" t="s">
        <v>17</v>
      </c>
      <c r="G8" s="6" t="s">
        <v>34</v>
      </c>
      <c r="H8" s="6" t="s">
        <v>25</v>
      </c>
      <c r="I8" s="6" t="s">
        <v>20</v>
      </c>
      <c r="J8" s="6" t="n">
        <v>8</v>
      </c>
      <c r="K8" s="7" t="n">
        <v>0</v>
      </c>
    </row>
    <row r="9" customFormat="false" ht="15" hidden="false" customHeight="false" outlineLevel="0" collapsed="false">
      <c r="A9" s="4" t="s">
        <v>35</v>
      </c>
      <c r="B9" s="5" t="n">
        <v>46120</v>
      </c>
      <c r="C9" s="6" t="s">
        <v>27</v>
      </c>
      <c r="D9" s="6" t="s">
        <v>32</v>
      </c>
      <c r="E9" s="6" t="s">
        <v>33</v>
      </c>
      <c r="F9" s="6" t="s">
        <v>36</v>
      </c>
      <c r="G9" s="6" t="s">
        <v>18</v>
      </c>
      <c r="H9" s="6" t="s">
        <v>30</v>
      </c>
      <c r="I9" s="6" t="s">
        <v>20</v>
      </c>
      <c r="J9" s="6" t="n">
        <v>25</v>
      </c>
      <c r="K9" s="7" t="n">
        <v>34082</v>
      </c>
    </row>
    <row r="10" customFormat="false" ht="15" hidden="false" customHeight="false" outlineLevel="0" collapsed="false">
      <c r="A10" s="4" t="s">
        <v>37</v>
      </c>
      <c r="B10" s="5" t="n">
        <v>46162</v>
      </c>
      <c r="C10" s="6" t="s">
        <v>38</v>
      </c>
      <c r="D10" s="6" t="s">
        <v>32</v>
      </c>
      <c r="E10" s="6" t="s">
        <v>39</v>
      </c>
      <c r="F10" s="6" t="s">
        <v>36</v>
      </c>
      <c r="G10" s="6" t="s">
        <v>24</v>
      </c>
      <c r="H10" s="6" t="s">
        <v>30</v>
      </c>
      <c r="I10" s="6" t="s">
        <v>20</v>
      </c>
      <c r="J10" s="6" t="n">
        <v>14</v>
      </c>
      <c r="K10" s="7" t="n">
        <v>41576</v>
      </c>
    </row>
    <row r="11" customFormat="false" ht="15" hidden="false" customHeight="false" outlineLevel="0" collapsed="false">
      <c r="A11" s="4" t="s">
        <v>40</v>
      </c>
      <c r="B11" s="5" t="n">
        <v>46278</v>
      </c>
      <c r="C11" s="6" t="s">
        <v>22</v>
      </c>
      <c r="D11" s="6" t="s">
        <v>28</v>
      </c>
      <c r="E11" s="6" t="s">
        <v>39</v>
      </c>
      <c r="F11" s="6" t="s">
        <v>41</v>
      </c>
      <c r="G11" s="6" t="s">
        <v>34</v>
      </c>
      <c r="H11" s="6" t="s">
        <v>25</v>
      </c>
      <c r="I11" s="6" t="s">
        <v>20</v>
      </c>
      <c r="J11" s="6" t="n">
        <v>7</v>
      </c>
      <c r="K11" s="7" t="n">
        <v>6586</v>
      </c>
    </row>
    <row r="12" customFormat="false" ht="15" hidden="false" customHeight="false" outlineLevel="0" collapsed="false">
      <c r="A12" s="4" t="s">
        <v>42</v>
      </c>
      <c r="B12" s="5" t="n">
        <v>46252</v>
      </c>
      <c r="C12" s="6" t="s">
        <v>22</v>
      </c>
      <c r="D12" s="6" t="s">
        <v>28</v>
      </c>
      <c r="E12" s="6" t="s">
        <v>23</v>
      </c>
      <c r="F12" s="6" t="s">
        <v>17</v>
      </c>
      <c r="G12" s="6" t="s">
        <v>24</v>
      </c>
      <c r="H12" s="6" t="s">
        <v>25</v>
      </c>
      <c r="I12" s="6" t="s">
        <v>20</v>
      </c>
      <c r="J12" s="6" t="n">
        <v>24</v>
      </c>
      <c r="K12" s="7" t="n">
        <v>2783</v>
      </c>
    </row>
    <row r="13" customFormat="false" ht="15" hidden="false" customHeight="false" outlineLevel="0" collapsed="false">
      <c r="A13" s="4" t="s">
        <v>43</v>
      </c>
      <c r="B13" s="5" t="n">
        <v>46215</v>
      </c>
      <c r="C13" s="6" t="s">
        <v>38</v>
      </c>
      <c r="D13" s="6" t="s">
        <v>28</v>
      </c>
      <c r="E13" s="6" t="s">
        <v>39</v>
      </c>
      <c r="F13" s="6" t="s">
        <v>17</v>
      </c>
      <c r="G13" s="6" t="s">
        <v>44</v>
      </c>
      <c r="H13" s="6" t="s">
        <v>25</v>
      </c>
      <c r="I13" s="6" t="s">
        <v>20</v>
      </c>
      <c r="J13" s="6" t="n">
        <v>3</v>
      </c>
      <c r="K13" s="7" t="n">
        <v>6601</v>
      </c>
    </row>
    <row r="14" customFormat="false" ht="15" hidden="false" customHeight="false" outlineLevel="0" collapsed="false">
      <c r="A14" s="4" t="s">
        <v>45</v>
      </c>
      <c r="B14" s="5" t="n">
        <v>46143</v>
      </c>
      <c r="C14" s="6" t="s">
        <v>38</v>
      </c>
      <c r="D14" s="6" t="s">
        <v>15</v>
      </c>
      <c r="E14" s="6" t="s">
        <v>23</v>
      </c>
      <c r="F14" s="6" t="s">
        <v>17</v>
      </c>
      <c r="G14" s="6" t="s">
        <v>24</v>
      </c>
      <c r="H14" s="6" t="s">
        <v>19</v>
      </c>
      <c r="I14" s="6" t="s">
        <v>46</v>
      </c>
      <c r="J14" s="6"/>
      <c r="K14" s="7" t="n">
        <v>59906</v>
      </c>
    </row>
    <row r="15" customFormat="false" ht="15" hidden="false" customHeight="false" outlineLevel="0" collapsed="false">
      <c r="A15" s="4" t="s">
        <v>47</v>
      </c>
      <c r="B15" s="5" t="n">
        <v>46234</v>
      </c>
      <c r="C15" s="6" t="s">
        <v>27</v>
      </c>
      <c r="D15" s="6" t="s">
        <v>28</v>
      </c>
      <c r="E15" s="6" t="s">
        <v>33</v>
      </c>
      <c r="F15" s="6" t="s">
        <v>41</v>
      </c>
      <c r="G15" s="6" t="s">
        <v>24</v>
      </c>
      <c r="H15" s="6" t="s">
        <v>30</v>
      </c>
      <c r="I15" s="6" t="s">
        <v>20</v>
      </c>
      <c r="J15" s="6" t="n">
        <v>22</v>
      </c>
      <c r="K15" s="7" t="n">
        <v>12495</v>
      </c>
    </row>
    <row r="16" customFormat="false" ht="15" hidden="false" customHeight="false" outlineLevel="0" collapsed="false">
      <c r="A16" s="4" t="s">
        <v>48</v>
      </c>
      <c r="B16" s="5" t="n">
        <v>46141</v>
      </c>
      <c r="C16" s="6" t="s">
        <v>14</v>
      </c>
      <c r="D16" s="6" t="s">
        <v>15</v>
      </c>
      <c r="E16" s="6" t="s">
        <v>33</v>
      </c>
      <c r="F16" s="6" t="s">
        <v>41</v>
      </c>
      <c r="G16" s="6" t="s">
        <v>44</v>
      </c>
      <c r="H16" s="6" t="s">
        <v>25</v>
      </c>
      <c r="I16" s="6" t="s">
        <v>20</v>
      </c>
      <c r="J16" s="6" t="n">
        <v>17</v>
      </c>
      <c r="K16" s="7" t="n">
        <v>0</v>
      </c>
    </row>
    <row r="17" customFormat="false" ht="15" hidden="false" customHeight="false" outlineLevel="0" collapsed="false">
      <c r="A17" s="4" t="s">
        <v>49</v>
      </c>
      <c r="B17" s="5" t="n">
        <v>46202</v>
      </c>
      <c r="C17" s="6" t="s">
        <v>50</v>
      </c>
      <c r="D17" s="6" t="s">
        <v>15</v>
      </c>
      <c r="E17" s="6" t="s">
        <v>23</v>
      </c>
      <c r="F17" s="6" t="s">
        <v>36</v>
      </c>
      <c r="G17" s="6" t="s">
        <v>18</v>
      </c>
      <c r="H17" s="6" t="s">
        <v>30</v>
      </c>
      <c r="I17" s="6" t="s">
        <v>46</v>
      </c>
      <c r="J17" s="6"/>
      <c r="K17" s="7" t="n">
        <v>18660</v>
      </c>
    </row>
    <row r="18" customFormat="false" ht="15" hidden="false" customHeight="false" outlineLevel="0" collapsed="false">
      <c r="A18" s="4" t="s">
        <v>51</v>
      </c>
      <c r="B18" s="5" t="n">
        <v>46144</v>
      </c>
      <c r="C18" s="6" t="s">
        <v>52</v>
      </c>
      <c r="D18" s="6" t="s">
        <v>32</v>
      </c>
      <c r="E18" s="6" t="s">
        <v>23</v>
      </c>
      <c r="F18" s="6" t="s">
        <v>41</v>
      </c>
      <c r="G18" s="6" t="s">
        <v>53</v>
      </c>
      <c r="H18" s="6" t="s">
        <v>25</v>
      </c>
      <c r="I18" s="6" t="s">
        <v>46</v>
      </c>
      <c r="J18" s="6"/>
      <c r="K18" s="7" t="n">
        <v>4447</v>
      </c>
    </row>
    <row r="19" customFormat="false" ht="15" hidden="false" customHeight="false" outlineLevel="0" collapsed="false">
      <c r="A19" s="4" t="s">
        <v>54</v>
      </c>
      <c r="B19" s="5" t="n">
        <v>46160</v>
      </c>
      <c r="C19" s="6" t="s">
        <v>52</v>
      </c>
      <c r="D19" s="6" t="s">
        <v>28</v>
      </c>
      <c r="E19" s="6" t="s">
        <v>33</v>
      </c>
      <c r="F19" s="6" t="s">
        <v>41</v>
      </c>
      <c r="G19" s="6" t="s">
        <v>44</v>
      </c>
      <c r="H19" s="6" t="s">
        <v>25</v>
      </c>
      <c r="I19" s="6" t="s">
        <v>20</v>
      </c>
      <c r="J19" s="6" t="n">
        <v>9</v>
      </c>
      <c r="K19" s="7" t="n">
        <v>0</v>
      </c>
    </row>
    <row r="20" customFormat="false" ht="15" hidden="false" customHeight="false" outlineLevel="0" collapsed="false">
      <c r="A20" s="4" t="s">
        <v>55</v>
      </c>
      <c r="B20" s="5" t="n">
        <v>46270</v>
      </c>
      <c r="C20" s="6" t="s">
        <v>14</v>
      </c>
      <c r="D20" s="6" t="s">
        <v>28</v>
      </c>
      <c r="E20" s="6" t="s">
        <v>16</v>
      </c>
      <c r="F20" s="6" t="s">
        <v>36</v>
      </c>
      <c r="G20" s="6" t="s">
        <v>24</v>
      </c>
      <c r="H20" s="6" t="s">
        <v>19</v>
      </c>
      <c r="I20" s="6" t="s">
        <v>20</v>
      </c>
      <c r="J20" s="6" t="n">
        <v>25</v>
      </c>
      <c r="K20" s="7" t="n">
        <v>65106</v>
      </c>
    </row>
    <row r="21" customFormat="false" ht="15" hidden="false" customHeight="false" outlineLevel="0" collapsed="false">
      <c r="A21" s="4" t="s">
        <v>56</v>
      </c>
      <c r="B21" s="5" t="n">
        <v>46187</v>
      </c>
      <c r="C21" s="6" t="s">
        <v>22</v>
      </c>
      <c r="D21" s="6" t="s">
        <v>28</v>
      </c>
      <c r="E21" s="6" t="s">
        <v>33</v>
      </c>
      <c r="F21" s="6" t="s">
        <v>17</v>
      </c>
      <c r="G21" s="6" t="s">
        <v>24</v>
      </c>
      <c r="H21" s="6" t="s">
        <v>25</v>
      </c>
      <c r="I21" s="6" t="s">
        <v>20</v>
      </c>
      <c r="J21" s="6" t="n">
        <v>8</v>
      </c>
      <c r="K21" s="7" t="n">
        <v>0</v>
      </c>
    </row>
    <row r="22" customFormat="false" ht="15" hidden="false" customHeight="false" outlineLevel="0" collapsed="false">
      <c r="A22" s="4" t="s">
        <v>57</v>
      </c>
      <c r="B22" s="5" t="n">
        <v>46210</v>
      </c>
      <c r="C22" s="6" t="s">
        <v>38</v>
      </c>
      <c r="D22" s="6" t="s">
        <v>15</v>
      </c>
      <c r="E22" s="6" t="s">
        <v>16</v>
      </c>
      <c r="F22" s="6" t="s">
        <v>41</v>
      </c>
      <c r="G22" s="6" t="s">
        <v>24</v>
      </c>
      <c r="H22" s="6" t="s">
        <v>30</v>
      </c>
      <c r="I22" s="6" t="s">
        <v>46</v>
      </c>
      <c r="J22" s="6"/>
      <c r="K22" s="7" t="n">
        <v>27658</v>
      </c>
    </row>
    <row r="23" customFormat="false" ht="15" hidden="false" customHeight="false" outlineLevel="0" collapsed="false">
      <c r="A23" s="4" t="s">
        <v>58</v>
      </c>
      <c r="B23" s="5" t="n">
        <v>46122</v>
      </c>
      <c r="C23" s="6" t="s">
        <v>27</v>
      </c>
      <c r="D23" s="6" t="s">
        <v>28</v>
      </c>
      <c r="E23" s="6" t="s">
        <v>33</v>
      </c>
      <c r="F23" s="6" t="s">
        <v>36</v>
      </c>
      <c r="G23" s="6" t="s">
        <v>24</v>
      </c>
      <c r="H23" s="6" t="s">
        <v>30</v>
      </c>
      <c r="I23" s="6" t="s">
        <v>46</v>
      </c>
      <c r="J23" s="6"/>
      <c r="K23" s="7" t="n">
        <v>33847</v>
      </c>
    </row>
    <row r="24" customFormat="false" ht="15" hidden="false" customHeight="false" outlineLevel="0" collapsed="false">
      <c r="A24" s="4" t="s">
        <v>59</v>
      </c>
      <c r="B24" s="5" t="n">
        <v>46166</v>
      </c>
      <c r="C24" s="6" t="s">
        <v>14</v>
      </c>
      <c r="D24" s="6" t="s">
        <v>15</v>
      </c>
      <c r="E24" s="6" t="s">
        <v>16</v>
      </c>
      <c r="F24" s="6" t="s">
        <v>36</v>
      </c>
      <c r="G24" s="6" t="s">
        <v>60</v>
      </c>
      <c r="H24" s="6" t="s">
        <v>30</v>
      </c>
      <c r="I24" s="6" t="s">
        <v>20</v>
      </c>
      <c r="J24" s="6" t="n">
        <v>11</v>
      </c>
      <c r="K24" s="7" t="n">
        <v>34133</v>
      </c>
    </row>
    <row r="25" customFormat="false" ht="15" hidden="false" customHeight="false" outlineLevel="0" collapsed="false">
      <c r="A25" s="4" t="s">
        <v>61</v>
      </c>
      <c r="B25" s="5" t="n">
        <v>46141</v>
      </c>
      <c r="C25" s="6" t="s">
        <v>50</v>
      </c>
      <c r="D25" s="6" t="s">
        <v>15</v>
      </c>
      <c r="E25" s="6" t="s">
        <v>39</v>
      </c>
      <c r="F25" s="6" t="s">
        <v>41</v>
      </c>
      <c r="G25" s="6" t="s">
        <v>18</v>
      </c>
      <c r="H25" s="6" t="s">
        <v>25</v>
      </c>
      <c r="I25" s="6" t="s">
        <v>20</v>
      </c>
      <c r="J25" s="6" t="n">
        <v>22</v>
      </c>
      <c r="K25" s="7" t="n">
        <v>4272</v>
      </c>
    </row>
    <row r="26" customFormat="false" ht="15" hidden="false" customHeight="false" outlineLevel="0" collapsed="false">
      <c r="A26" s="4" t="s">
        <v>62</v>
      </c>
      <c r="B26" s="5" t="n">
        <v>46159</v>
      </c>
      <c r="C26" s="6" t="s">
        <v>14</v>
      </c>
      <c r="D26" s="6" t="s">
        <v>15</v>
      </c>
      <c r="E26" s="6" t="s">
        <v>23</v>
      </c>
      <c r="F26" s="6" t="s">
        <v>36</v>
      </c>
      <c r="G26" s="6" t="s">
        <v>24</v>
      </c>
      <c r="H26" s="6" t="s">
        <v>25</v>
      </c>
      <c r="I26" s="6" t="s">
        <v>46</v>
      </c>
      <c r="J26" s="6"/>
      <c r="K26" s="7" t="n">
        <v>0</v>
      </c>
    </row>
    <row r="27" customFormat="false" ht="15" hidden="false" customHeight="false" outlineLevel="0" collapsed="false">
      <c r="A27" s="4" t="s">
        <v>63</v>
      </c>
      <c r="B27" s="5" t="n">
        <v>46210</v>
      </c>
      <c r="C27" s="6" t="s">
        <v>38</v>
      </c>
      <c r="D27" s="6" t="s">
        <v>28</v>
      </c>
      <c r="E27" s="6" t="s">
        <v>29</v>
      </c>
      <c r="F27" s="6" t="s">
        <v>17</v>
      </c>
      <c r="G27" s="6" t="s">
        <v>18</v>
      </c>
      <c r="H27" s="6" t="s">
        <v>30</v>
      </c>
      <c r="I27" s="6" t="s">
        <v>20</v>
      </c>
      <c r="J27" s="6" t="n">
        <v>9</v>
      </c>
      <c r="K27" s="7" t="n">
        <v>25665</v>
      </c>
    </row>
    <row r="28" customFormat="false" ht="15" hidden="false" customHeight="false" outlineLevel="0" collapsed="false">
      <c r="A28" s="4" t="s">
        <v>64</v>
      </c>
      <c r="B28" s="5" t="n">
        <v>46267</v>
      </c>
      <c r="C28" s="6" t="s">
        <v>50</v>
      </c>
      <c r="D28" s="6" t="s">
        <v>32</v>
      </c>
      <c r="E28" s="6" t="s">
        <v>33</v>
      </c>
      <c r="F28" s="6" t="s">
        <v>36</v>
      </c>
      <c r="G28" s="6" t="s">
        <v>60</v>
      </c>
      <c r="H28" s="6" t="s">
        <v>25</v>
      </c>
      <c r="I28" s="6" t="s">
        <v>20</v>
      </c>
      <c r="J28" s="6" t="n">
        <v>2</v>
      </c>
      <c r="K28" s="7" t="n">
        <v>5057</v>
      </c>
    </row>
    <row r="29" customFormat="false" ht="15" hidden="false" customHeight="false" outlineLevel="0" collapsed="false">
      <c r="A29" s="4" t="s">
        <v>65</v>
      </c>
      <c r="B29" s="5" t="n">
        <v>46239</v>
      </c>
      <c r="C29" s="6" t="s">
        <v>38</v>
      </c>
      <c r="D29" s="6" t="s">
        <v>32</v>
      </c>
      <c r="E29" s="6" t="s">
        <v>16</v>
      </c>
      <c r="F29" s="6" t="s">
        <v>41</v>
      </c>
      <c r="G29" s="6" t="s">
        <v>53</v>
      </c>
      <c r="H29" s="6" t="s">
        <v>30</v>
      </c>
      <c r="I29" s="6" t="s">
        <v>20</v>
      </c>
      <c r="J29" s="6" t="n">
        <v>14</v>
      </c>
      <c r="K29" s="7" t="n">
        <v>23990</v>
      </c>
    </row>
    <row r="30" customFormat="false" ht="15" hidden="false" customHeight="false" outlineLevel="0" collapsed="false">
      <c r="A30" s="4" t="s">
        <v>66</v>
      </c>
      <c r="B30" s="5" t="n">
        <v>46254</v>
      </c>
      <c r="C30" s="6" t="s">
        <v>50</v>
      </c>
      <c r="D30" s="6" t="s">
        <v>28</v>
      </c>
      <c r="E30" s="6" t="s">
        <v>23</v>
      </c>
      <c r="F30" s="6" t="s">
        <v>41</v>
      </c>
      <c r="G30" s="6" t="s">
        <v>24</v>
      </c>
      <c r="H30" s="6" t="s">
        <v>25</v>
      </c>
      <c r="I30" s="6" t="s">
        <v>20</v>
      </c>
      <c r="J30" s="6" t="n">
        <v>15</v>
      </c>
      <c r="K30" s="7" t="n">
        <v>0</v>
      </c>
    </row>
    <row r="31" customFormat="false" ht="15" hidden="false" customHeight="false" outlineLevel="0" collapsed="false">
      <c r="A31" s="4" t="s">
        <v>67</v>
      </c>
      <c r="B31" s="5" t="n">
        <v>46182</v>
      </c>
      <c r="C31" s="6" t="s">
        <v>27</v>
      </c>
      <c r="D31" s="6" t="s">
        <v>32</v>
      </c>
      <c r="E31" s="6" t="s">
        <v>23</v>
      </c>
      <c r="F31" s="6" t="s">
        <v>36</v>
      </c>
      <c r="G31" s="6" t="s">
        <v>24</v>
      </c>
      <c r="H31" s="6" t="s">
        <v>30</v>
      </c>
      <c r="I31" s="6" t="s">
        <v>46</v>
      </c>
      <c r="J31" s="6"/>
      <c r="K31" s="7" t="n">
        <v>19220</v>
      </c>
    </row>
    <row r="32" customFormat="false" ht="15" hidden="false" customHeight="false" outlineLevel="0" collapsed="false">
      <c r="A32" s="4" t="s">
        <v>68</v>
      </c>
      <c r="B32" s="5" t="n">
        <v>46125</v>
      </c>
      <c r="C32" s="6" t="s">
        <v>38</v>
      </c>
      <c r="D32" s="6" t="s">
        <v>28</v>
      </c>
      <c r="E32" s="6" t="s">
        <v>23</v>
      </c>
      <c r="F32" s="6" t="s">
        <v>36</v>
      </c>
      <c r="G32" s="6" t="s">
        <v>24</v>
      </c>
      <c r="H32" s="6" t="s">
        <v>25</v>
      </c>
      <c r="I32" s="6" t="s">
        <v>20</v>
      </c>
      <c r="J32" s="6" t="n">
        <v>4</v>
      </c>
      <c r="K32" s="7" t="n">
        <v>0</v>
      </c>
    </row>
    <row r="33" customFormat="false" ht="15" hidden="false" customHeight="false" outlineLevel="0" collapsed="false">
      <c r="A33" s="4" t="s">
        <v>69</v>
      </c>
      <c r="B33" s="5" t="n">
        <v>46234</v>
      </c>
      <c r="C33" s="6" t="s">
        <v>14</v>
      </c>
      <c r="D33" s="6" t="s">
        <v>28</v>
      </c>
      <c r="E33" s="6" t="s">
        <v>16</v>
      </c>
      <c r="F33" s="6" t="s">
        <v>36</v>
      </c>
      <c r="G33" s="6" t="s">
        <v>18</v>
      </c>
      <c r="H33" s="6" t="s">
        <v>19</v>
      </c>
      <c r="I33" s="6" t="s">
        <v>20</v>
      </c>
      <c r="J33" s="6" t="n">
        <v>25</v>
      </c>
      <c r="K33" s="7" t="n">
        <v>84416</v>
      </c>
    </row>
    <row r="34" customFormat="false" ht="15" hidden="false" customHeight="false" outlineLevel="0" collapsed="false">
      <c r="A34" s="4" t="s">
        <v>70</v>
      </c>
      <c r="B34" s="5" t="n">
        <v>46173</v>
      </c>
      <c r="C34" s="6" t="s">
        <v>50</v>
      </c>
      <c r="D34" s="6" t="s">
        <v>15</v>
      </c>
      <c r="E34" s="6" t="s">
        <v>16</v>
      </c>
      <c r="F34" s="6" t="s">
        <v>36</v>
      </c>
      <c r="G34" s="6" t="s">
        <v>24</v>
      </c>
      <c r="H34" s="6" t="s">
        <v>30</v>
      </c>
      <c r="I34" s="6" t="s">
        <v>46</v>
      </c>
      <c r="J34" s="6"/>
      <c r="K34" s="7" t="n">
        <v>31119</v>
      </c>
    </row>
    <row r="35" customFormat="false" ht="15" hidden="false" customHeight="false" outlineLevel="0" collapsed="false">
      <c r="A35" s="4" t="s">
        <v>71</v>
      </c>
      <c r="B35" s="5" t="n">
        <v>46271</v>
      </c>
      <c r="C35" s="6" t="s">
        <v>14</v>
      </c>
      <c r="D35" s="6" t="s">
        <v>15</v>
      </c>
      <c r="E35" s="6" t="s">
        <v>16</v>
      </c>
      <c r="F35" s="6" t="s">
        <v>17</v>
      </c>
      <c r="G35" s="6" t="s">
        <v>53</v>
      </c>
      <c r="H35" s="6" t="s">
        <v>25</v>
      </c>
      <c r="I35" s="6" t="s">
        <v>46</v>
      </c>
      <c r="J35" s="6"/>
      <c r="K35" s="7" t="n">
        <v>2318</v>
      </c>
    </row>
    <row r="36" customFormat="false" ht="15" hidden="false" customHeight="false" outlineLevel="0" collapsed="false">
      <c r="A36" s="4" t="s">
        <v>72</v>
      </c>
      <c r="B36" s="5" t="n">
        <v>46218</v>
      </c>
      <c r="C36" s="6" t="s">
        <v>14</v>
      </c>
      <c r="D36" s="6" t="s">
        <v>28</v>
      </c>
      <c r="E36" s="6" t="s">
        <v>39</v>
      </c>
      <c r="F36" s="6" t="s">
        <v>41</v>
      </c>
      <c r="G36" s="6" t="s">
        <v>60</v>
      </c>
      <c r="H36" s="6" t="s">
        <v>25</v>
      </c>
      <c r="I36" s="6" t="s">
        <v>20</v>
      </c>
      <c r="J36" s="6" t="n">
        <v>12</v>
      </c>
      <c r="K36" s="7" t="n">
        <v>0</v>
      </c>
    </row>
    <row r="37" customFormat="false" ht="15" hidden="false" customHeight="false" outlineLevel="0" collapsed="false">
      <c r="A37" s="4" t="s">
        <v>73</v>
      </c>
      <c r="B37" s="5" t="n">
        <v>46255</v>
      </c>
      <c r="C37" s="6" t="s">
        <v>38</v>
      </c>
      <c r="D37" s="6" t="s">
        <v>15</v>
      </c>
      <c r="E37" s="6" t="s">
        <v>16</v>
      </c>
      <c r="F37" s="6" t="s">
        <v>17</v>
      </c>
      <c r="G37" s="6" t="s">
        <v>24</v>
      </c>
      <c r="H37" s="6" t="s">
        <v>30</v>
      </c>
      <c r="I37" s="6" t="s">
        <v>46</v>
      </c>
      <c r="J37" s="6"/>
      <c r="K37" s="7" t="n">
        <v>22855</v>
      </c>
    </row>
    <row r="38" customFormat="false" ht="15" hidden="false" customHeight="false" outlineLevel="0" collapsed="false">
      <c r="A38" s="4" t="s">
        <v>74</v>
      </c>
      <c r="B38" s="5" t="n">
        <v>46145</v>
      </c>
      <c r="C38" s="6" t="s">
        <v>22</v>
      </c>
      <c r="D38" s="6" t="s">
        <v>28</v>
      </c>
      <c r="E38" s="6" t="s">
        <v>16</v>
      </c>
      <c r="F38" s="6" t="s">
        <v>17</v>
      </c>
      <c r="G38" s="6" t="s">
        <v>24</v>
      </c>
      <c r="H38" s="6" t="s">
        <v>30</v>
      </c>
      <c r="I38" s="6" t="s">
        <v>46</v>
      </c>
      <c r="J38" s="6"/>
      <c r="K38" s="7" t="n">
        <v>30526</v>
      </c>
    </row>
    <row r="39" customFormat="false" ht="15" hidden="false" customHeight="false" outlineLevel="0" collapsed="false">
      <c r="A39" s="4" t="s">
        <v>75</v>
      </c>
      <c r="B39" s="5" t="n">
        <v>46182</v>
      </c>
      <c r="C39" s="6" t="s">
        <v>52</v>
      </c>
      <c r="D39" s="6" t="s">
        <v>28</v>
      </c>
      <c r="E39" s="6" t="s">
        <v>16</v>
      </c>
      <c r="F39" s="6" t="s">
        <v>36</v>
      </c>
      <c r="G39" s="6" t="s">
        <v>24</v>
      </c>
      <c r="H39" s="6" t="s">
        <v>25</v>
      </c>
      <c r="I39" s="6" t="s">
        <v>46</v>
      </c>
      <c r="J39" s="6"/>
      <c r="K39" s="7" t="n">
        <v>0</v>
      </c>
    </row>
    <row r="40" customFormat="false" ht="15" hidden="false" customHeight="false" outlineLevel="0" collapsed="false">
      <c r="A40" s="4" t="s">
        <v>76</v>
      </c>
      <c r="B40" s="5" t="n">
        <v>46142</v>
      </c>
      <c r="C40" s="6" t="s">
        <v>27</v>
      </c>
      <c r="D40" s="6" t="s">
        <v>32</v>
      </c>
      <c r="E40" s="6" t="s">
        <v>29</v>
      </c>
      <c r="F40" s="6" t="s">
        <v>36</v>
      </c>
      <c r="G40" s="6" t="s">
        <v>18</v>
      </c>
      <c r="H40" s="6" t="s">
        <v>30</v>
      </c>
      <c r="I40" s="6" t="s">
        <v>20</v>
      </c>
      <c r="J40" s="6" t="n">
        <v>18</v>
      </c>
      <c r="K40" s="7" t="n">
        <v>16193</v>
      </c>
    </row>
    <row r="41" customFormat="false" ht="15" hidden="false" customHeight="false" outlineLevel="0" collapsed="false">
      <c r="A41" s="4" t="s">
        <v>77</v>
      </c>
      <c r="B41" s="5" t="n">
        <v>46198</v>
      </c>
      <c r="C41" s="6" t="s">
        <v>52</v>
      </c>
      <c r="D41" s="6" t="s">
        <v>28</v>
      </c>
      <c r="E41" s="6" t="s">
        <v>16</v>
      </c>
      <c r="F41" s="6" t="s">
        <v>36</v>
      </c>
      <c r="G41" s="6" t="s">
        <v>24</v>
      </c>
      <c r="H41" s="6" t="s">
        <v>30</v>
      </c>
      <c r="I41" s="6" t="s">
        <v>20</v>
      </c>
      <c r="J41" s="6" t="n">
        <v>10</v>
      </c>
      <c r="K41" s="7" t="n">
        <v>31070</v>
      </c>
    </row>
    <row r="42" customFormat="false" ht="15" hidden="false" customHeight="false" outlineLevel="0" collapsed="false">
      <c r="A42" s="4" t="s">
        <v>78</v>
      </c>
      <c r="B42" s="5" t="n">
        <v>46193</v>
      </c>
      <c r="C42" s="6" t="s">
        <v>38</v>
      </c>
      <c r="D42" s="6" t="s">
        <v>32</v>
      </c>
      <c r="E42" s="6" t="s">
        <v>23</v>
      </c>
      <c r="F42" s="6" t="s">
        <v>36</v>
      </c>
      <c r="G42" s="6" t="s">
        <v>24</v>
      </c>
      <c r="H42" s="6" t="s">
        <v>25</v>
      </c>
      <c r="I42" s="6" t="s">
        <v>20</v>
      </c>
      <c r="J42" s="6" t="n">
        <v>24</v>
      </c>
      <c r="K42" s="7" t="n">
        <v>3869</v>
      </c>
    </row>
    <row r="43" customFormat="false" ht="15" hidden="false" customHeight="false" outlineLevel="0" collapsed="false">
      <c r="A43" s="4" t="s">
        <v>79</v>
      </c>
      <c r="B43" s="5" t="n">
        <v>46243</v>
      </c>
      <c r="C43" s="6" t="s">
        <v>52</v>
      </c>
      <c r="D43" s="6" t="s">
        <v>32</v>
      </c>
      <c r="E43" s="6" t="s">
        <v>39</v>
      </c>
      <c r="F43" s="6" t="s">
        <v>36</v>
      </c>
      <c r="G43" s="6" t="s">
        <v>24</v>
      </c>
      <c r="H43" s="6" t="s">
        <v>30</v>
      </c>
      <c r="I43" s="6" t="s">
        <v>20</v>
      </c>
      <c r="J43" s="6" t="n">
        <v>16</v>
      </c>
      <c r="K43" s="7" t="n">
        <v>30827</v>
      </c>
    </row>
    <row r="44" customFormat="false" ht="15" hidden="false" customHeight="false" outlineLevel="0" collapsed="false">
      <c r="A44" s="4" t="s">
        <v>80</v>
      </c>
      <c r="B44" s="5" t="n">
        <v>46268</v>
      </c>
      <c r="C44" s="6" t="s">
        <v>22</v>
      </c>
      <c r="D44" s="6" t="s">
        <v>28</v>
      </c>
      <c r="E44" s="6" t="s">
        <v>23</v>
      </c>
      <c r="F44" s="6" t="s">
        <v>41</v>
      </c>
      <c r="G44" s="6" t="s">
        <v>18</v>
      </c>
      <c r="H44" s="6" t="s">
        <v>19</v>
      </c>
      <c r="I44" s="6" t="s">
        <v>46</v>
      </c>
      <c r="J44" s="6"/>
      <c r="K44" s="7" t="n">
        <v>102205</v>
      </c>
    </row>
    <row r="46" customFormat="false" ht="15" hidden="false" customHeight="false" outlineLevel="0" collapsed="false">
      <c r="A46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31.5" hidden="false" customHeight="true" outlineLevel="0" collapsed="false">
      <c r="A4" s="3" t="s">
        <v>8</v>
      </c>
      <c r="B4" s="3" t="s">
        <v>84</v>
      </c>
      <c r="C4" s="3" t="s">
        <v>85</v>
      </c>
      <c r="D4" s="3" t="s">
        <v>86</v>
      </c>
      <c r="E4" s="3" t="s">
        <v>87</v>
      </c>
    </row>
    <row r="5" customFormat="false" ht="15" hidden="false" customHeight="false" outlineLevel="0" collapsed="false">
      <c r="A5" s="8" t="s">
        <v>24</v>
      </c>
      <c r="B5" s="9" t="n">
        <f aca="false">COUNTIF('Complaint Log'!$G$5:$G$44,A5)</f>
        <v>21</v>
      </c>
      <c r="C5" s="10" t="n">
        <f aca="false">B5/SUM($B$5:$B$10)</f>
        <v>0.525</v>
      </c>
      <c r="D5" s="11" t="n">
        <f aca="false">SUMIF('Complaint Log'!$G$5:$G$44,A5,'Complaint Log'!$K$5:$K$44)</f>
        <v>436641</v>
      </c>
      <c r="E5" s="10" t="n">
        <f aca="false">D5/SUM($D$5:$D$10)</f>
        <v>0.505627853008817</v>
      </c>
    </row>
    <row r="6" customFormat="false" ht="15" hidden="false" customHeight="false" outlineLevel="0" collapsed="false">
      <c r="A6" s="8" t="s">
        <v>44</v>
      </c>
      <c r="B6" s="9" t="n">
        <f aca="false">COUNTIF('Complaint Log'!$G$5:$G$44,A6)</f>
        <v>3</v>
      </c>
      <c r="C6" s="10" t="n">
        <f aca="false">B6/SUM($B$5:$B$10)</f>
        <v>0.075</v>
      </c>
      <c r="D6" s="11" t="n">
        <f aca="false">SUMIF('Complaint Log'!$G$5:$G$44,A6,'Complaint Log'!$K$5:$K$44)</f>
        <v>6601</v>
      </c>
      <c r="E6" s="10" t="n">
        <f aca="false">D6/SUM($D$5:$D$10)</f>
        <v>0.00764392133975326</v>
      </c>
    </row>
    <row r="7" customFormat="false" ht="15" hidden="false" customHeight="false" outlineLevel="0" collapsed="false">
      <c r="A7" s="8" t="s">
        <v>18</v>
      </c>
      <c r="B7" s="9" t="n">
        <f aca="false">COUNTIF('Complaint Log'!$G$5:$G$44,A7)</f>
        <v>8</v>
      </c>
      <c r="C7" s="10" t="n">
        <f aca="false">B7/SUM($B$5:$B$10)</f>
        <v>0.2</v>
      </c>
      <c r="D7" s="11" t="n">
        <f aca="false">SUMIF('Complaint Log'!$G$5:$G$44,A7,'Complaint Log'!$K$5:$K$44)</f>
        <v>343789</v>
      </c>
      <c r="E7" s="10" t="n">
        <f aca="false">D7/SUM($D$5:$D$10)</f>
        <v>0.39810575268481</v>
      </c>
    </row>
    <row r="8" customFormat="false" ht="15" hidden="false" customHeight="false" outlineLevel="0" collapsed="false">
      <c r="A8" s="8" t="s">
        <v>60</v>
      </c>
      <c r="B8" s="9" t="n">
        <f aca="false">COUNTIF('Complaint Log'!$G$5:$G$44,A8)</f>
        <v>3</v>
      </c>
      <c r="C8" s="10" t="n">
        <f aca="false">B8/SUM($B$5:$B$10)</f>
        <v>0.075</v>
      </c>
      <c r="D8" s="11" t="n">
        <f aca="false">SUMIF('Complaint Log'!$G$5:$G$44,A8,'Complaint Log'!$K$5:$K$44)</f>
        <v>39190</v>
      </c>
      <c r="E8" s="10" t="n">
        <f aca="false">D8/SUM($D$5:$D$10)</f>
        <v>0.0453818023488759</v>
      </c>
    </row>
    <row r="9" customFormat="false" ht="15" hidden="false" customHeight="false" outlineLevel="0" collapsed="false">
      <c r="A9" s="8" t="s">
        <v>53</v>
      </c>
      <c r="B9" s="9" t="n">
        <f aca="false">COUNTIF('Complaint Log'!$G$5:$G$44,A9)</f>
        <v>3</v>
      </c>
      <c r="C9" s="10" t="n">
        <f aca="false">B9/SUM($B$5:$B$10)</f>
        <v>0.075</v>
      </c>
      <c r="D9" s="11" t="n">
        <f aca="false">SUMIF('Complaint Log'!$G$5:$G$44,A9,'Complaint Log'!$K$5:$K$44)</f>
        <v>30755</v>
      </c>
      <c r="E9" s="10" t="n">
        <f aca="false">D9/SUM($D$5:$D$10)</f>
        <v>0.0356141191946843</v>
      </c>
    </row>
    <row r="10" customFormat="false" ht="15" hidden="false" customHeight="false" outlineLevel="0" collapsed="false">
      <c r="A10" s="8" t="s">
        <v>34</v>
      </c>
      <c r="B10" s="9" t="n">
        <f aca="false">COUNTIF('Complaint Log'!$G$5:$G$44,A10)</f>
        <v>2</v>
      </c>
      <c r="C10" s="10" t="n">
        <f aca="false">B10/SUM($B$5:$B$10)</f>
        <v>0.05</v>
      </c>
      <c r="D10" s="11" t="n">
        <f aca="false">SUMIF('Complaint Log'!$G$5:$G$44,A10,'Complaint Log'!$K$5:$K$44)</f>
        <v>6586</v>
      </c>
      <c r="E10" s="10" t="n">
        <f aca="false">D10/SUM($D$5:$D$10)</f>
        <v>0.00762655142305938</v>
      </c>
    </row>
    <row r="13" customFormat="false" ht="15" hidden="false" customHeight="false" outlineLevel="0" collapsed="false">
      <c r="A13" s="12" t="s">
        <v>88</v>
      </c>
    </row>
    <row r="14" customFormat="false" ht="31.5" hidden="false" customHeight="true" outlineLevel="0" collapsed="false">
      <c r="A14" s="3" t="s">
        <v>89</v>
      </c>
      <c r="B14" s="3" t="s">
        <v>90</v>
      </c>
      <c r="C14" s="3" t="s">
        <v>86</v>
      </c>
    </row>
    <row r="15" customFormat="false" ht="15" hidden="false" customHeight="false" outlineLevel="0" collapsed="false">
      <c r="A15" s="4" t="s">
        <v>91</v>
      </c>
      <c r="B15" s="9" t="n">
        <f aca="false">SUMPRODUCT((MONTH('Complaint Log'!$B$5:$B$44)=4)*1)</f>
        <v>7</v>
      </c>
      <c r="C15" s="11" t="n">
        <f aca="false">SUMPRODUCT((MONTH('Complaint Log'!$B$5:$B$44)=4)*'Complaint Log'!$K$5:$K$44)</f>
        <v>146690</v>
      </c>
    </row>
    <row r="16" customFormat="false" ht="15" hidden="false" customHeight="false" outlineLevel="0" collapsed="false">
      <c r="A16" s="4" t="s">
        <v>92</v>
      </c>
      <c r="B16" s="9" t="n">
        <f aca="false">SUMPRODUCT((MONTH('Complaint Log'!$B$5:$B$44)=5)*1)</f>
        <v>11</v>
      </c>
      <c r="C16" s="11" t="n">
        <f aca="false">SUMPRODUCT((MONTH('Complaint Log'!$B$5:$B$44)=5)*'Complaint Log'!$K$5:$K$44)</f>
        <v>225491</v>
      </c>
    </row>
    <row r="17" customFormat="false" ht="15" hidden="false" customHeight="false" outlineLevel="0" collapsed="false">
      <c r="A17" s="4" t="s">
        <v>93</v>
      </c>
      <c r="B17" s="9" t="n">
        <f aca="false">SUMPRODUCT((MONTH('Complaint Log'!$B$5:$B$44)=6)*1)</f>
        <v>6</v>
      </c>
      <c r="C17" s="11" t="n">
        <f aca="false">SUMPRODUCT((MONTH('Complaint Log'!$B$5:$B$44)=6)*'Complaint Log'!$K$5:$K$44)</f>
        <v>72819</v>
      </c>
    </row>
    <row r="18" customFormat="false" ht="15" hidden="false" customHeight="false" outlineLevel="0" collapsed="false">
      <c r="A18" s="4" t="s">
        <v>94</v>
      </c>
      <c r="B18" s="9" t="n">
        <f aca="false">SUMPRODUCT((MONTH('Complaint Log'!$B$5:$B$44)=7)*1)</f>
        <v>6</v>
      </c>
      <c r="C18" s="11" t="n">
        <f aca="false">SUMPRODUCT((MONTH('Complaint Log'!$B$5:$B$44)=7)*'Complaint Log'!$K$5:$K$44)</f>
        <v>156835</v>
      </c>
    </row>
    <row r="19" customFormat="false" ht="15" hidden="false" customHeight="false" outlineLevel="0" collapsed="false">
      <c r="A19" s="4" t="s">
        <v>95</v>
      </c>
      <c r="B19" s="9" t="n">
        <f aca="false">SUMPRODUCT((MONTH('Complaint Log'!$B$5:$B$44)=8)*1)</f>
        <v>5</v>
      </c>
      <c r="C19" s="11" t="n">
        <f aca="false">SUMPRODUCT((MONTH('Complaint Log'!$B$5:$B$44)=8)*'Complaint Log'!$K$5:$K$44)</f>
        <v>80455</v>
      </c>
    </row>
    <row r="20" customFormat="false" ht="15" hidden="false" customHeight="false" outlineLevel="0" collapsed="false">
      <c r="A20" s="4" t="s">
        <v>96</v>
      </c>
      <c r="B20" s="9" t="n">
        <f aca="false">SUMPRODUCT((MONTH('Complaint Log'!$B$5:$B$44)=9)*1)</f>
        <v>5</v>
      </c>
      <c r="C20" s="11" t="n">
        <f aca="false">SUMPRODUCT((MONTH('Complaint Log'!$B$5:$B$44)=9)*'Complaint Log'!$K$5:$K$44)</f>
        <v>181272</v>
      </c>
    </row>
    <row r="22" customFormat="false" ht="15" hidden="false" customHeight="false" outlineLevel="0" collapsed="false">
      <c r="A22" s="13" t="s">
        <v>97</v>
      </c>
      <c r="B22" s="13"/>
      <c r="C22" s="13"/>
      <c r="D22" s="13"/>
      <c r="E22" s="13"/>
    </row>
  </sheetData>
  <mergeCells count="1"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12" t="s">
        <v>100</v>
      </c>
    </row>
    <row r="5" customFormat="false" ht="31.5" hidden="false" customHeight="true" outlineLevel="0" collapsed="false">
      <c r="A5" s="3" t="s">
        <v>6</v>
      </c>
      <c r="B5" s="3" t="s">
        <v>101</v>
      </c>
      <c r="C5" s="3" t="s">
        <v>102</v>
      </c>
      <c r="D5" s="3" t="s">
        <v>103</v>
      </c>
    </row>
    <row r="6" customFormat="false" ht="15" hidden="false" customHeight="false" outlineLevel="0" collapsed="false">
      <c r="A6" s="8" t="s">
        <v>23</v>
      </c>
      <c r="B6" s="9" t="n">
        <f aca="false">COUNTIF('Complaint Log'!$E$5:$E$44,A6)</f>
        <v>11</v>
      </c>
      <c r="C6" s="9" t="n">
        <f aca="false">COUNTIFS('Complaint Log'!$E$5:$E$44,A6,'Complaint Log'!$H$5:$H$44,"&lt;&gt;Minor")</f>
        <v>4</v>
      </c>
      <c r="D6" s="14" t="n">
        <f aca="false">IFERROR(AVERAGEIFS('Complaint Log'!$J$5:$J$44,'Complaint Log'!$E$5:$E$44,A6,'Complaint Log'!$I$5:$I$44,"Closed"),0)</f>
        <v>15</v>
      </c>
    </row>
    <row r="7" customFormat="false" ht="15" hidden="false" customHeight="false" outlineLevel="0" collapsed="false">
      <c r="A7" s="8" t="s">
        <v>39</v>
      </c>
      <c r="B7" s="9" t="n">
        <f aca="false">COUNTIF('Complaint Log'!$E$5:$E$44,A7)</f>
        <v>6</v>
      </c>
      <c r="C7" s="9" t="n">
        <f aca="false">COUNTIFS('Complaint Log'!$E$5:$E$44,A7,'Complaint Log'!$H$5:$H$44,"&lt;&gt;Minor")</f>
        <v>2</v>
      </c>
      <c r="D7" s="14" t="n">
        <f aca="false">IFERROR(AVERAGEIFS('Complaint Log'!$J$5:$J$44,'Complaint Log'!$E$5:$E$44,A7,'Complaint Log'!$I$5:$I$44,"Closed"),0)</f>
        <v>12.3333333333333</v>
      </c>
    </row>
    <row r="8" customFormat="false" ht="15" hidden="false" customHeight="false" outlineLevel="0" collapsed="false">
      <c r="A8" s="8" t="s">
        <v>29</v>
      </c>
      <c r="B8" s="9" t="n">
        <f aca="false">COUNTIF('Complaint Log'!$E$5:$E$44,A8)</f>
        <v>3</v>
      </c>
      <c r="C8" s="9" t="n">
        <f aca="false">COUNTIFS('Complaint Log'!$E$5:$E$44,A8,'Complaint Log'!$H$5:$H$44,"&lt;&gt;Minor")</f>
        <v>3</v>
      </c>
      <c r="D8" s="14" t="n">
        <f aca="false">IFERROR(AVERAGEIFS('Complaint Log'!$J$5:$J$44,'Complaint Log'!$E$5:$E$44,A8,'Complaint Log'!$I$5:$I$44,"Closed"),0)</f>
        <v>12</v>
      </c>
    </row>
    <row r="9" customFormat="false" ht="15" hidden="false" customHeight="false" outlineLevel="0" collapsed="false">
      <c r="A9" s="8" t="s">
        <v>16</v>
      </c>
      <c r="B9" s="9" t="n">
        <f aca="false">COUNTIF('Complaint Log'!$E$5:$E$44,A9)</f>
        <v>12</v>
      </c>
      <c r="C9" s="9" t="n">
        <f aca="false">COUNTIFS('Complaint Log'!$E$5:$E$44,A9,'Complaint Log'!$H$5:$H$44,"&lt;&gt;Minor")</f>
        <v>10</v>
      </c>
      <c r="D9" s="14" t="n">
        <f aca="false">IFERROR(AVERAGEIFS('Complaint Log'!$J$5:$J$44,'Complaint Log'!$E$5:$E$44,A9,'Complaint Log'!$I$5:$I$44,"Closed"),0)</f>
        <v>15.6666666666667</v>
      </c>
    </row>
    <row r="10" customFormat="false" ht="15" hidden="false" customHeight="false" outlineLevel="0" collapsed="false">
      <c r="A10" s="8" t="s">
        <v>33</v>
      </c>
      <c r="B10" s="9" t="n">
        <f aca="false">COUNTIF('Complaint Log'!$E$5:$E$44,A10)</f>
        <v>8</v>
      </c>
      <c r="C10" s="9" t="n">
        <f aca="false">COUNTIFS('Complaint Log'!$E$5:$E$44,A10,'Complaint Log'!$H$5:$H$44,"&lt;&gt;Minor")</f>
        <v>3</v>
      </c>
      <c r="D10" s="14" t="n">
        <f aca="false">IFERROR(AVERAGEIFS('Complaint Log'!$J$5:$J$44,'Complaint Log'!$E$5:$E$44,A10,'Complaint Log'!$I$5:$I$44,"Closed"),0)</f>
        <v>13</v>
      </c>
    </row>
    <row r="13" customFormat="false" ht="15" hidden="false" customHeight="false" outlineLevel="0" collapsed="false">
      <c r="A13" s="12" t="s">
        <v>104</v>
      </c>
    </row>
    <row r="14" customFormat="false" ht="31.5" hidden="false" customHeight="true" outlineLevel="0" collapsed="false">
      <c r="A14" s="3" t="s">
        <v>4</v>
      </c>
      <c r="B14" s="3" t="s">
        <v>101</v>
      </c>
      <c r="C14" s="3" t="s">
        <v>86</v>
      </c>
      <c r="D14" s="3" t="s">
        <v>103</v>
      </c>
    </row>
    <row r="15" customFormat="false" ht="15" hidden="false" customHeight="false" outlineLevel="0" collapsed="false">
      <c r="A15" s="8" t="s">
        <v>27</v>
      </c>
      <c r="B15" s="9" t="n">
        <f aca="false">COUNTIF('Complaint Log'!$C$5:$C$44,A15)</f>
        <v>6</v>
      </c>
      <c r="C15" s="11" t="n">
        <f aca="false">SUMIF('Complaint Log'!$C$5:$C$44,A15,'Complaint Log'!$K$5:$K$44)</f>
        <v>139621</v>
      </c>
      <c r="D15" s="14" t="n">
        <f aca="false">IFERROR(AVERAGEIFS('Complaint Log'!$J$5:$J$44,'Complaint Log'!$C$5:$C$44,A15,'Complaint Log'!$I$5:$I$44,"Closed"),0)</f>
        <v>18.5</v>
      </c>
    </row>
    <row r="16" customFormat="false" ht="15" hidden="false" customHeight="false" outlineLevel="0" collapsed="false">
      <c r="A16" s="8" t="s">
        <v>50</v>
      </c>
      <c r="B16" s="9" t="n">
        <f aca="false">COUNTIF('Complaint Log'!$C$5:$C$44,A16)</f>
        <v>5</v>
      </c>
      <c r="C16" s="11" t="n">
        <f aca="false">SUMIF('Complaint Log'!$C$5:$C$44,A16,'Complaint Log'!$K$5:$K$44)</f>
        <v>59108</v>
      </c>
      <c r="D16" s="14" t="n">
        <f aca="false">IFERROR(AVERAGEIFS('Complaint Log'!$J$5:$J$44,'Complaint Log'!$C$5:$C$44,A16,'Complaint Log'!$I$5:$I$44,"Closed"),0)</f>
        <v>13</v>
      </c>
    </row>
    <row r="17" customFormat="false" ht="15" hidden="false" customHeight="false" outlineLevel="0" collapsed="false">
      <c r="A17" s="8" t="s">
        <v>38</v>
      </c>
      <c r="B17" s="9" t="n">
        <f aca="false">COUNTIF('Complaint Log'!$C$5:$C$44,A17)</f>
        <v>9</v>
      </c>
      <c r="C17" s="11" t="n">
        <f aca="false">SUMIF('Complaint Log'!$C$5:$C$44,A17,'Complaint Log'!$K$5:$K$44)</f>
        <v>212120</v>
      </c>
      <c r="D17" s="14" t="n">
        <f aca="false">IFERROR(AVERAGEIFS('Complaint Log'!$J$5:$J$44,'Complaint Log'!$C$5:$C$44,A17,'Complaint Log'!$I$5:$I$44,"Closed"),0)</f>
        <v>11.3333333333333</v>
      </c>
    </row>
    <row r="18" customFormat="false" ht="15" hidden="false" customHeight="false" outlineLevel="0" collapsed="false">
      <c r="A18" s="8" t="s">
        <v>14</v>
      </c>
      <c r="B18" s="9" t="n">
        <f aca="false">COUNTIF('Complaint Log'!$C$5:$C$44,A18)</f>
        <v>9</v>
      </c>
      <c r="C18" s="11" t="n">
        <f aca="false">SUMIF('Complaint Log'!$C$5:$C$44,A18,'Complaint Log'!$K$5:$K$44)</f>
        <v>244269</v>
      </c>
      <c r="D18" s="14" t="n">
        <f aca="false">IFERROR(AVERAGEIFS('Complaint Log'!$J$5:$J$44,'Complaint Log'!$C$5:$C$44,A18,'Complaint Log'!$I$5:$I$44,"Closed"),0)</f>
        <v>15.2857142857143</v>
      </c>
    </row>
    <row r="19" customFormat="false" ht="15" hidden="false" customHeight="false" outlineLevel="0" collapsed="false">
      <c r="A19" s="8" t="s">
        <v>52</v>
      </c>
      <c r="B19" s="9" t="n">
        <f aca="false">COUNTIF('Complaint Log'!$C$5:$C$44,A19)</f>
        <v>5</v>
      </c>
      <c r="C19" s="11" t="n">
        <f aca="false">SUMIF('Complaint Log'!$C$5:$C$44,A19,'Complaint Log'!$K$5:$K$44)</f>
        <v>66344</v>
      </c>
      <c r="D19" s="14" t="n">
        <f aca="false">IFERROR(AVERAGEIFS('Complaint Log'!$J$5:$J$44,'Complaint Log'!$C$5:$C$44,A19,'Complaint Log'!$I$5:$I$44,"Closed"),0)</f>
        <v>11.6666666666667</v>
      </c>
    </row>
    <row r="20" customFormat="false" ht="15" hidden="false" customHeight="false" outlineLevel="0" collapsed="false">
      <c r="A20" s="8" t="s">
        <v>22</v>
      </c>
      <c r="B20" s="9" t="n">
        <f aca="false">COUNTIF('Complaint Log'!$C$5:$C$44,A20)</f>
        <v>6</v>
      </c>
      <c r="C20" s="11" t="n">
        <f aca="false">SUMIF('Complaint Log'!$C$5:$C$44,A20,'Complaint Log'!$K$5:$K$44)</f>
        <v>142100</v>
      </c>
      <c r="D20" s="14" t="n">
        <f aca="false">IFERROR(AVERAGEIFS('Complaint Log'!$J$5:$J$44,'Complaint Log'!$C$5:$C$44,A20,'Complaint Log'!$I$5:$I$44,"Closed"),0)</f>
        <v>11.75</v>
      </c>
    </row>
    <row r="22" customFormat="false" ht="15" hidden="false" customHeight="false" outlineLevel="0" collapsed="false">
      <c r="A22" s="13" t="s">
        <v>105</v>
      </c>
      <c r="B22" s="13"/>
      <c r="C22" s="13"/>
      <c r="D22" s="13"/>
    </row>
  </sheetData>
  <mergeCells count="1"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1.5" hidden="false" customHeight="true" outlineLevel="0" collapsed="false">
      <c r="A4" s="3" t="s">
        <v>108</v>
      </c>
      <c r="B4" s="3" t="s">
        <v>109</v>
      </c>
      <c r="C4" s="3" t="s">
        <v>110</v>
      </c>
    </row>
    <row r="5" customFormat="false" ht="63.75" hidden="false" customHeight="true" outlineLevel="0" collapsed="false">
      <c r="A5" s="4" t="s">
        <v>111</v>
      </c>
      <c r="B5" s="15" t="s">
        <v>112</v>
      </c>
      <c r="C5" s="15" t="s">
        <v>113</v>
      </c>
    </row>
    <row r="6" customFormat="false" ht="63.75" hidden="false" customHeight="true" outlineLevel="0" collapsed="false">
      <c r="A6" s="4" t="s">
        <v>114</v>
      </c>
      <c r="B6" s="15" t="s">
        <v>115</v>
      </c>
      <c r="C6" s="15" t="s">
        <v>116</v>
      </c>
    </row>
    <row r="7" customFormat="false" ht="63.75" hidden="false" customHeight="true" outlineLevel="0" collapsed="false">
      <c r="A7" s="4" t="s">
        <v>117</v>
      </c>
      <c r="B7" s="15" t="s">
        <v>118</v>
      </c>
      <c r="C7" s="15" t="s">
        <v>119</v>
      </c>
    </row>
    <row r="8" customFormat="false" ht="63.75" hidden="false" customHeight="true" outlineLevel="0" collapsed="false">
      <c r="A8" s="4" t="s">
        <v>120</v>
      </c>
      <c r="B8" s="15" t="s">
        <v>121</v>
      </c>
      <c r="C8" s="15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2026-09-27T18:13:56Z</dcterms:created>
  <dc:creator>openpyxl</dc:creator>
  <dc:description/>
  <dc:language>en-US</dc:language>
  <cp:lastModifiedBy/>
  <dcterms:modified xsi:type="dcterms:W3CDTF">2026-09-27T23:44:02Z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